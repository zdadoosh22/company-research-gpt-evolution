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702d17b38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194d99a2a4ca4dd0"/>
    <x:sheet xmlns:r="http://schemas.openxmlformats.org/officeDocument/2006/relationships" name="Actuals" sheetId="2" r:id="Rf1ce4300cda24e67"/>
    <x:sheet xmlns:r="http://schemas.openxmlformats.org/officeDocument/2006/relationships" name="Reconciliation" sheetId="3" r:id="R5e6fa41b1cf849c7"/>
    <x:sheet xmlns:r="http://schemas.openxmlformats.org/officeDocument/2006/relationships" name="Sources" sheetId="4" r:id="R2ddb1c8034a3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;(#,##0.000);&quot;-&quot;"/>
    <x:numFmt numFmtId="201" formatCode="0.0%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337856350404e" /><Relationship Type="http://schemas.openxmlformats.org/officeDocument/2006/relationships/theme" Target="/xl/theme/theme1.xml" Id="R410577888131473c" /><Relationship Type="http://schemas.openxmlformats.org/officeDocument/2006/relationships/sharedStrings" Target="/xl/sharedStrings.xml" Id="R64df5eb1b15a4b22" /><Relationship Type="http://schemas.openxmlformats.org/officeDocument/2006/relationships/worksheet" Target="/xl/worksheets/sheet1.xml" Id="R194d99a2a4ca4dd0" /><Relationship Type="http://schemas.openxmlformats.org/officeDocument/2006/relationships/worksheet" Target="/xl/worksheets/sheet2.xml" Id="Rf1ce4300cda24e67" /><Relationship Type="http://schemas.openxmlformats.org/officeDocument/2006/relationships/worksheet" Target="/xl/worksheets/sheet3.xml" Id="R5e6fa41b1cf849c7" /><Relationship Type="http://schemas.openxmlformats.org/officeDocument/2006/relationships/worksheet" Target="/xl/worksheets/sheet4.xml" Id="R2ddb1c8034a3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Unilever | global evidence pilot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completed-with-limitations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Focused evidence/currency pilot, not a Unilever valuation.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London ordinary shares require GBp to GBP conversion and an explicitly dated EUR/GBP spot before numeric security conclusions.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2025 shares were consolidated after the Ice Cream demerger; do not compare unre-based per-share series.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Original issuer PDFs returned HTTP403 to local preservation. Verified numerical extracts and precise links retained; complete PDFs remain online.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No FX forecast, no market quote, no buy/sell conclusion.</x:v>
      </x:c>
      <x:c r="B11" s="1"/>
      <x:c r="C11" s="1"/>
      <x:c r="D11" s="1"/>
      <x:c r="E11" s="1"/>
      <x:c r="F11" s="1"/>
      <x:c r="G11" s="1"/>
      <x:c r="H11" s="1"/>
    </x:row>
    <x:row r="12" ht="42" customHeight="1">
      <x:c r="A12" s="4" t="str">
        <x:v>Recalculated and export/import tested with the bundled engine. Native Microsoft Excel has not been independently opened/tested.</x:v>
      </x:c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Turnover</x:v>
      </x:c>
      <x:c r="B4" s="1" t="str">
        <x:v>2023</x:v>
      </x:c>
      <x:c r="C4" s="7" t="n">
        <x:v>51680</x:v>
      </x:c>
      <x:c r="D4" s="1" t="str">
        <x:v>EUR million</x:v>
      </x:c>
      <x:c r="E4" s="4" t="str">
        <x:v>continuing; comparatives re-presented after Ice Cream demerger</x:v>
      </x:c>
      <x:c r="F4" s="4" t="str">
        <x:v>u1</x:v>
      </x:c>
      <x:c r="G4" s="4" t="str">
        <x:v>2025 Annual Report printed p128 / PDF p131, consolidated income statement</x:v>
      </x:c>
      <x:c r="H4" s="4" t="str">
        <x:v>verified-reported</x:v>
      </x:c>
    </x:row>
    <x:row r="5" ht="65" customHeight="1">
      <x:c r="A5" s="1" t="str">
        <x:v>Operating profit</x:v>
      </x:c>
      <x:c r="B5" s="1" t="str">
        <x:v>2023</x:v>
      </x:c>
      <x:c r="C5" s="7" t="n">
        <x:v>8998</x:v>
      </x:c>
      <x:c r="D5" s="1" t="str">
        <x:v>EUR million</x:v>
      </x:c>
      <x:c r="E5" s="4" t="str">
        <x:v>continuing; comparatives re-presented after Ice Cream demerger</x:v>
      </x:c>
      <x:c r="F5" s="4" t="str">
        <x:v>u1</x:v>
      </x:c>
      <x:c r="G5" s="4" t="str">
        <x:v>2025 Annual Report printed p128 / PDF p131, consolidated income statement</x:v>
      </x:c>
      <x:c r="H5" s="4" t="str">
        <x:v>verified-reported</x:v>
      </x:c>
    </x:row>
    <x:row r="6" ht="65" customHeight="1">
      <x:c r="A6" s="1" t="str">
        <x:v>Turnover</x:v>
      </x:c>
      <x:c r="B6" s="1" t="str">
        <x:v>2024</x:v>
      </x:c>
      <x:c r="C6" s="7" t="n">
        <x:v>52479</x:v>
      </x:c>
      <x:c r="D6" s="1" t="str">
        <x:v>EUR million</x:v>
      </x:c>
      <x:c r="E6" s="4" t="str">
        <x:v>continuing; comparatives re-presented after Ice Cream demerger</x:v>
      </x:c>
      <x:c r="F6" s="4" t="str">
        <x:v>u1</x:v>
      </x:c>
      <x:c r="G6" s="4" t="str">
        <x:v>2025 Annual Report printed p128 / PDF p131, consolidated income statement</x:v>
      </x:c>
      <x:c r="H6" s="4" t="str">
        <x:v>verified-reported</x:v>
      </x:c>
    </x:row>
    <x:row r="7" ht="65" customHeight="1">
      <x:c r="A7" s="1" t="str">
        <x:v>Operating profit</x:v>
      </x:c>
      <x:c r="B7" s="1" t="str">
        <x:v>2024</x:v>
      </x:c>
      <x:c r="C7" s="7" t="n">
        <x:v>8829</x:v>
      </x:c>
      <x:c r="D7" s="1" t="str">
        <x:v>EUR million</x:v>
      </x:c>
      <x:c r="E7" s="4" t="str">
        <x:v>continuing; comparatives re-presented after Ice Cream demerger</x:v>
      </x:c>
      <x:c r="F7" s="4" t="str">
        <x:v>u1</x:v>
      </x:c>
      <x:c r="G7" s="4" t="str">
        <x:v>2025 Annual Report printed p128 / PDF p131, consolidated income statement</x:v>
      </x:c>
      <x:c r="H7" s="4" t="str">
        <x:v>verified-reported</x:v>
      </x:c>
    </x:row>
    <x:row r="8" ht="65" customHeight="1">
      <x:c r="A8" s="1" t="str">
        <x:v>Turnover</x:v>
      </x:c>
      <x:c r="B8" s="1" t="str">
        <x:v>2025</x:v>
      </x:c>
      <x:c r="C8" s="7" t="n">
        <x:v>50503</x:v>
      </x:c>
      <x:c r="D8" s="1" t="str">
        <x:v>EUR million</x:v>
      </x:c>
      <x:c r="E8" s="4" t="str">
        <x:v>continuing; comparatives re-presented after Ice Cream demerger</x:v>
      </x:c>
      <x:c r="F8" s="4" t="str">
        <x:v>u1</x:v>
      </x:c>
      <x:c r="G8" s="4" t="str">
        <x:v>2025 Annual Report printed p128 / PDF p131, consolidated income statement</x:v>
      </x:c>
      <x:c r="H8" s="4" t="str">
        <x:v>verified-reported</x:v>
      </x:c>
    </x:row>
    <x:row r="9" ht="65" customHeight="1">
      <x:c r="A9" s="1" t="str">
        <x:v>Operating profit</x:v>
      </x:c>
      <x:c r="B9" s="1" t="str">
        <x:v>2025</x:v>
      </x:c>
      <x:c r="C9" s="7" t="n">
        <x:v>9037</x:v>
      </x:c>
      <x:c r="D9" s="1" t="str">
        <x:v>EUR million</x:v>
      </x:c>
      <x:c r="E9" s="4" t="str">
        <x:v>continuing; comparatives re-presented after Ice Cream demerger</x:v>
      </x:c>
      <x:c r="F9" s="4" t="str">
        <x:v>u1</x:v>
      </x:c>
      <x:c r="G9" s="4" t="str">
        <x:v>2025 Annual Report printed p128 / PDF p131, consolidated income statement</x:v>
      </x:c>
      <x:c r="H9" s="4" t="str">
        <x:v>verified-reported</x:v>
      </x:c>
    </x:row>
    <x:row r="10" ht="65" customHeight="1">
      <x:c r="A10" s="1" t="str">
        <x:v>Turnover</x:v>
      </x:c>
      <x:c r="B10" s="1" t="str">
        <x:v>2025-H1</x:v>
      </x:c>
      <x:c r="C10" s="7" t="n">
        <x:v>25506</x:v>
      </x:c>
      <x:c r="D10" s="1" t="str">
        <x:v>EUR million</x:v>
      </x:c>
      <x:c r="E10" s="4" t="str">
        <x:v>continuing; re-presented comparative</x:v>
      </x:c>
      <x:c r="F10" s="4" t="str">
        <x:v>u2</x:v>
      </x:c>
      <x:c r="G10" s="4" t="str">
        <x:v>H1 announcement PDF pp22 and26 (printed pp22 and26)</x:v>
      </x:c>
      <x:c r="H10" s="4" t="str">
        <x:v>verified-reported</x:v>
      </x:c>
    </x:row>
    <x:row r="11" ht="65" customHeight="1">
      <x:c r="A11" s="1" t="str">
        <x:v>Operating profit</x:v>
      </x:c>
      <x:c r="B11" s="1" t="str">
        <x:v>2025-H1</x:v>
      </x:c>
      <x:c r="C11" s="7" t="n">
        <x:v>4762</x:v>
      </x:c>
      <x:c r="D11" s="1" t="str">
        <x:v>EUR million</x:v>
      </x:c>
      <x:c r="E11" s="4" t="str">
        <x:v>continuing; re-presented comparative</x:v>
      </x:c>
      <x:c r="F11" s="4" t="str">
        <x:v>u2</x:v>
      </x:c>
      <x:c r="G11" s="4" t="str">
        <x:v>H1 announcement PDF pp22 and26 (printed pp22 and26)</x:v>
      </x:c>
      <x:c r="H11" s="4" t="str">
        <x:v>verified-reported</x:v>
      </x:c>
    </x:row>
    <x:row r="12" ht="65" customHeight="1">
      <x:c r="A12" s="1" t="str">
        <x:v>Continuing CFO</x:v>
      </x:c>
      <x:c r="B12" s="1" t="str">
        <x:v>2025-H1</x:v>
      </x:c>
      <x:c r="C12" s="7" t="n">
        <x:v>2019</x:v>
      </x:c>
      <x:c r="D12" s="1" t="str">
        <x:v>EUR million</x:v>
      </x:c>
      <x:c r="E12" s="4" t="str">
        <x:v>continuing; re-presented comparative</x:v>
      </x:c>
      <x:c r="F12" s="4" t="str">
        <x:v>u2</x:v>
      </x:c>
      <x:c r="G12" s="4" t="str">
        <x:v>H1 announcement PDF pp22 and26 (printed pp22 and26)</x:v>
      </x:c>
      <x:c r="H12" s="4" t="str">
        <x:v>verified-reported</x:v>
      </x:c>
    </x:row>
    <x:row r="13" ht="65" customHeight="1">
      <x:c r="A13" s="1" t="str">
        <x:v>Turnover</x:v>
      </x:c>
      <x:c r="B13" s="1" t="str">
        <x:v>2026-H1</x:v>
      </x:c>
      <x:c r="C13" s="7" t="n">
        <x:v>25623</x:v>
      </x:c>
      <x:c r="D13" s="1" t="str">
        <x:v>EUR million</x:v>
      </x:c>
      <x:c r="E13" s="4" t="str">
        <x:v>continuing; re-presented comparative</x:v>
      </x:c>
      <x:c r="F13" s="4" t="str">
        <x:v>u2</x:v>
      </x:c>
      <x:c r="G13" s="4" t="str">
        <x:v>H1 announcement PDF pp22 and26 (printed pp22 and26)</x:v>
      </x:c>
      <x:c r="H13" s="4" t="str">
        <x:v>verified-reported</x:v>
      </x:c>
    </x:row>
    <x:row r="14" ht="65" customHeight="1">
      <x:c r="A14" s="1" t="str">
        <x:v>Operating profit</x:v>
      </x:c>
      <x:c r="B14" s="1" t="str">
        <x:v>2026-H1</x:v>
      </x:c>
      <x:c r="C14" s="7" t="n">
        <x:v>4885</x:v>
      </x:c>
      <x:c r="D14" s="1" t="str">
        <x:v>EUR million</x:v>
      </x:c>
      <x:c r="E14" s="4" t="str">
        <x:v>continuing; re-presented comparative</x:v>
      </x:c>
      <x:c r="F14" s="4" t="str">
        <x:v>u2</x:v>
      </x:c>
      <x:c r="G14" s="4" t="str">
        <x:v>H1 announcement PDF pp22 and26 (printed pp22 and26)</x:v>
      </x:c>
      <x:c r="H14" s="4" t="str">
        <x:v>verified-reported</x:v>
      </x:c>
    </x:row>
    <x:row r="15" ht="65" customHeight="1">
      <x:c r="A15" s="1" t="str">
        <x:v>Continuing CFO</x:v>
      </x:c>
      <x:c r="B15" s="1" t="str">
        <x:v>2026-H1</x:v>
      </x:c>
      <x:c r="C15" s="7" t="n">
        <x:v>2577</x:v>
      </x:c>
      <x:c r="D15" s="1" t="str">
        <x:v>EUR million</x:v>
      </x:c>
      <x:c r="E15" s="4" t="str">
        <x:v>continuing; re-presented comparative</x:v>
      </x:c>
      <x:c r="F15" s="4" t="str">
        <x:v>u2</x:v>
      </x:c>
      <x:c r="G15" s="4" t="str">
        <x:v>H1 announcement PDF pp22 and26 (printed pp22 and26)</x:v>
      </x:c>
      <x:c r="H15" s="4" t="str">
        <x:v>verified-reported</x:v>
      </x:c>
    </x:row>
    <x:row r="16" ht="65" customHeight="1">
      <x:c r="A16" s="1"/>
      <x:c r="B16" s="1"/>
      <x:c r="C16" s="7"/>
      <x:c r="D16" s="1"/>
      <x:c r="E16" s="4"/>
      <x:c r="F16" s="4"/>
      <x:c r="G16" s="4"/>
      <x:c r="H16" s="4"/>
    </x:row>
    <x:row r="17" ht="65" customHeight="1">
      <x:c r="A17" s="1"/>
      <x:c r="B17" s="1"/>
      <x:c r="C17" s="7"/>
      <x:c r="D17" s="1"/>
      <x:c r="E17" s="4"/>
      <x:c r="F17" s="4"/>
      <x:c r="G17" s="4"/>
      <x:c r="H17" s="4"/>
    </x:row>
    <x:row r="18" ht="65" customHeight="1">
      <x:c r="A18" s="1"/>
      <x:c r="B18" s="1"/>
      <x:c r="C18" s="7"/>
      <x:c r="D18" s="1"/>
      <x:c r="E18" s="4"/>
      <x:c r="F18" s="4"/>
      <x:c r="G18" s="4"/>
      <x:c r="H18" s="4"/>
    </x:row>
    <x:row r="19" ht="65" customHeight="1">
      <x:c r="A19" s="1"/>
      <x:c r="B19" s="1"/>
      <x:c r="C19" s="7"/>
      <x:c r="D19" s="1"/>
      <x:c r="E19" s="4"/>
      <x:c r="F19" s="4"/>
      <x:c r="G19" s="4"/>
      <x:c r="H19" s="4"/>
    </x:row>
    <x:row r="20" ht="65" customHeight="1">
      <x:c r="A20" s="1"/>
      <x:c r="B20" s="1"/>
      <x:c r="C20" s="7"/>
      <x:c r="D20" s="1"/>
      <x:c r="E20" s="4"/>
      <x:c r="F20" s="4"/>
      <x:c r="G20" s="4"/>
      <x:c r="H20" s="4"/>
    </x:row>
    <x:row r="21" ht="65" customHeight="1">
      <x:c r="A21" s="1"/>
      <x:c r="B21" s="1"/>
      <x:c r="C21" s="7"/>
      <x:c r="D21" s="1"/>
      <x:c r="E21" s="4"/>
      <x:c r="F21" s="4"/>
      <x:c r="G21" s="4"/>
      <x:c r="H21" s="4"/>
    </x:row>
    <x:row r="22" ht="65" customHeight="1">
      <x:c r="A22" s="1"/>
      <x:c r="B22" s="1"/>
      <x:c r="C22" s="7"/>
      <x:c r="D22" s="1"/>
      <x:c r="E22" s="4"/>
      <x:c r="F22" s="4"/>
      <x:c r="G22" s="4"/>
      <x:c r="H22" s="4"/>
    </x:row>
    <x:row r="23" ht="65" customHeight="1">
      <x:c r="A23" s="1"/>
      <x:c r="B23" s="1"/>
      <x:c r="C23" s="7"/>
      <x:c r="D23" s="1"/>
      <x:c r="E23" s="4"/>
      <x:c r="F23" s="4"/>
      <x:c r="G23" s="4"/>
      <x:c r="H23" s="4"/>
    </x:row>
    <x:row r="24" ht="65" customHeight="1">
      <x:c r="A24" s="1"/>
      <x:c r="B24" s="1"/>
      <x:c r="C24" s="7"/>
      <x:c r="D24" s="1"/>
      <x:c r="E24" s="4"/>
      <x:c r="F24" s="4"/>
      <x:c r="G24" s="4"/>
      <x:c r="H24" s="4"/>
    </x:row>
    <x:row r="25" ht="65" customHeight="1">
      <x:c r="A25" s="1"/>
      <x:c r="B25" s="1"/>
      <x:c r="C25" s="7"/>
      <x:c r="D25" s="1"/>
      <x:c r="E25" s="4"/>
      <x:c r="F25" s="4"/>
      <x:c r="G25" s="4"/>
      <x:c r="H25" s="4"/>
    </x:row>
    <x:row r="26" ht="65" customHeight="1">
      <x:c r="A26" s="1"/>
      <x:c r="B26" s="1"/>
      <x:c r="C26" s="7"/>
      <x:c r="D26" s="1"/>
      <x:c r="E26" s="4"/>
      <x:c r="F26" s="4"/>
      <x:c r="G26" s="4"/>
      <x:c r="H26" s="4"/>
    </x:row>
    <x:row r="27" ht="65" customHeight="1">
      <x:c r="A27" s="1"/>
      <x:c r="B27" s="1"/>
      <x:c r="C27" s="7"/>
      <x:c r="D27" s="1"/>
      <x:c r="E27" s="4"/>
      <x:c r="F27" s="4"/>
      <x:c r="G27" s="4"/>
      <x:c r="H27" s="4"/>
    </x:row>
    <x:row r="28" ht="65" customHeight="1">
      <x:c r="A28" s="1"/>
      <x:c r="B28" s="1"/>
      <x:c r="C28" s="7"/>
      <x:c r="D28" s="1"/>
      <x:c r="E28" s="4"/>
      <x:c r="F28" s="4"/>
      <x:c r="G28" s="4"/>
      <x:c r="H28" s="4"/>
    </x:row>
    <x:row r="29" ht="65" customHeight="1">
      <x:c r="A29" s="1"/>
      <x:c r="B29" s="1"/>
      <x:c r="C29" s="7"/>
      <x:c r="D29" s="1"/>
      <x:c r="E29" s="4"/>
      <x:c r="F29" s="4"/>
      <x:c r="G29" s="4"/>
      <x:c r="H29" s="4"/>
    </x:row>
    <x:row r="30" ht="65" customHeight="1">
      <x:c r="A30" s="1"/>
      <x:c r="B30" s="1"/>
      <x:c r="C30" s="7"/>
      <x:c r="D30" s="1"/>
      <x:c r="E30" s="4"/>
      <x:c r="F30" s="4"/>
      <x:c r="G30" s="4"/>
      <x:c r="H30" s="4"/>
    </x:row>
    <x:row r="31" ht="65" customHeight="1">
      <x:c r="A31" s="1"/>
      <x:c r="B31" s="1"/>
      <x:c r="C31" s="7"/>
      <x:c r="D31" s="1"/>
      <x:c r="E31" s="4"/>
      <x:c r="F31" s="4"/>
      <x:c r="G31" s="4"/>
      <x:c r="H31" s="4"/>
    </x:row>
    <x:row r="32" ht="65" customHeight="1">
      <x:c r="A32" s="1"/>
      <x:c r="B32" s="1"/>
      <x:c r="C32" s="7"/>
      <x:c r="D32" s="1"/>
      <x:c r="E32" s="4"/>
      <x:c r="F32" s="4"/>
      <x:c r="G32" s="4"/>
      <x:c r="H32" s="4"/>
    </x:row>
    <x:row r="33" ht="65" customHeight="1">
      <x:c r="A33" s="1"/>
      <x:c r="B33" s="1"/>
      <x:c r="C33" s="7"/>
      <x:c r="D33" s="1"/>
      <x:c r="E33" s="4"/>
      <x:c r="F33" s="4"/>
      <x:c r="G33" s="4"/>
      <x:c r="H33" s="4"/>
    </x:row>
    <x:row r="34" ht="65" customHeight="1">
      <x:c r="A34" s="1"/>
      <x:c r="B34" s="1"/>
      <x:c r="C34" s="7"/>
      <x:c r="D34" s="1"/>
      <x:c r="E34" s="4"/>
      <x:c r="F34" s="4"/>
      <x:c r="G34" s="4"/>
      <x:c r="H34" s="4"/>
    </x:row>
    <x:row r="35" ht="65" customHeight="1">
      <x:c r="A35" s="1"/>
      <x:c r="B35" s="1"/>
      <x:c r="C35" s="7"/>
      <x:c r="D35" s="1"/>
      <x:c r="E35" s="4"/>
      <x:c r="F35" s="4"/>
      <x:c r="G35" s="4"/>
      <x:c r="H35" s="4"/>
    </x:row>
    <x:row r="36" ht="65" customHeight="1">
      <x:c r="A36" s="1"/>
      <x:c r="B36" s="1"/>
      <x:c r="C36" s="7"/>
      <x:c r="D36" s="1"/>
      <x:c r="E36" s="4"/>
      <x:c r="F36" s="4"/>
      <x:c r="G36" s="4"/>
      <x:c r="H36" s="4"/>
    </x:row>
    <x:row r="37" ht="65" customHeight="1">
      <x:c r="A37" s="1"/>
      <x:c r="B37" s="1"/>
      <x:c r="C37" s="7"/>
      <x:c r="D37" s="1"/>
      <x:c r="E37" s="4"/>
      <x:c r="F37" s="4"/>
      <x:c r="G37" s="4"/>
      <x:c r="H37" s="4"/>
    </x:row>
    <x:row r="38" ht="65" customHeight="1">
      <x:c r="A38" s="1"/>
      <x:c r="B38" s="1"/>
      <x:c r="C38" s="7"/>
      <x:c r="D38" s="1"/>
      <x:c r="E38" s="4"/>
      <x:c r="F38" s="4"/>
      <x:c r="G38" s="4"/>
      <x:c r="H38" s="4"/>
    </x:row>
    <x:row r="39" ht="65" customHeight="1">
      <x:c r="A39" s="1"/>
      <x:c r="B39" s="1"/>
      <x:c r="C39" s="7"/>
      <x:c r="D39" s="1"/>
      <x:c r="E39" s="4"/>
      <x:c r="F39" s="4"/>
      <x:c r="G39" s="4"/>
      <x:c r="H39" s="4"/>
    </x:row>
    <x:row r="40" ht="65" customHeight="1">
      <x:c r="A40" s="1"/>
      <x:c r="B40" s="1"/>
      <x:c r="C40" s="7"/>
      <x:c r="D40" s="1"/>
      <x:c r="E40" s="4"/>
      <x:c r="F40" s="4"/>
      <x:c r="G40" s="4"/>
      <x:c r="H40" s="4"/>
    </x:row>
    <x:row r="41" ht="65" customHeight="1">
      <x:c r="A41" s="1"/>
      <x:c r="B41" s="1"/>
      <x:c r="C41" s="7"/>
      <x:c r="D41" s="1"/>
      <x:c r="E41" s="4"/>
      <x:c r="F41" s="4"/>
      <x:c r="G41" s="4"/>
      <x:c r="H41" s="4"/>
    </x:row>
    <x:row r="42" ht="65" customHeight="1">
      <x:c r="A42" s="1"/>
      <x:c r="B42" s="1"/>
      <x:c r="C42" s="7"/>
      <x:c r="D42" s="1"/>
      <x:c r="E42" s="4"/>
      <x:c r="F42" s="4"/>
      <x:c r="G42" s="4"/>
      <x:c r="H42" s="4"/>
    </x:row>
    <x:row r="43" ht="65" customHeight="1">
      <x:c r="A43" s="1"/>
      <x:c r="B43" s="1"/>
      <x:c r="C43" s="7"/>
      <x:c r="D43" s="1"/>
      <x:c r="E43" s="4"/>
      <x:c r="F43" s="4"/>
      <x:c r="G43" s="4"/>
      <x:c r="H43" s="4"/>
    </x:row>
    <x:row r="44" ht="65" customHeight="1">
      <x:c r="A44" s="1"/>
      <x:c r="B44" s="1"/>
      <x:c r="C44" s="7"/>
      <x:c r="D44" s="1"/>
      <x:c r="E44" s="4"/>
      <x:c r="F44" s="4"/>
      <x:c r="G44" s="4"/>
      <x:c r="H44" s="4"/>
    </x:row>
    <x:row r="45" ht="65" customHeight="1">
      <x:c r="A45" s="1"/>
      <x:c r="B45" s="1"/>
      <x:c r="C45" s="7"/>
      <x:c r="D45" s="1"/>
      <x:c r="E45" s="4"/>
      <x:c r="F45" s="4"/>
      <x:c r="G45" s="4"/>
      <x:c r="H45" s="4"/>
    </x:row>
    <x:row r="46" ht="65" customHeight="1">
      <x:c r="A46" s="1"/>
      <x:c r="B46" s="1"/>
      <x:c r="C46" s="7"/>
      <x:c r="D46" s="1"/>
      <x:c r="E46" s="4"/>
      <x:c r="F46" s="4"/>
      <x:c r="G46" s="4"/>
      <x:c r="H46" s="4"/>
    </x:row>
    <x:row r="47" ht="65" customHeight="1">
      <x:c r="A47" s="1"/>
      <x:c r="B47" s="1"/>
      <x:c r="C47" s="7"/>
      <x:c r="D47" s="1"/>
      <x:c r="E47" s="4"/>
      <x:c r="F47" s="4"/>
      <x:c r="G47" s="4"/>
      <x:c r="H47" s="4"/>
    </x:row>
    <x:row r="48" ht="65" customHeight="1">
      <x:c r="A48" s="1"/>
      <x:c r="B48" s="1"/>
      <x:c r="C48" s="7"/>
      <x:c r="D48" s="1"/>
      <x:c r="E48" s="4"/>
      <x:c r="F48" s="4"/>
      <x:c r="G48" s="4"/>
      <x:c r="H48" s="4"/>
    </x:row>
    <x:row r="49" ht="65" customHeight="1">
      <x:c r="A49" s="1"/>
      <x:c r="B49" s="1"/>
      <x:c r="C49" s="7"/>
      <x:c r="D49" s="1"/>
      <x:c r="E49" s="4"/>
      <x:c r="F49" s="4"/>
      <x:c r="G49" s="4"/>
      <x:c r="H49" s="4"/>
    </x:row>
    <x:row r="50" ht="65" customHeight="1">
      <x:c r="A50" s="1"/>
      <x:c r="B50" s="1"/>
      <x:c r="C50" s="7"/>
      <x:c r="D50" s="1"/>
      <x:c r="E50" s="4"/>
      <x:c r="F50" s="4"/>
      <x:c r="G50" s="4"/>
      <x:c r="H50" s="4"/>
    </x:row>
    <x:row r="51" ht="65" customHeight="1">
      <x:c r="A51" s="1"/>
      <x:c r="B51" s="1"/>
      <x:c r="C51" s="7"/>
      <x:c r="D51" s="1"/>
      <x:c r="E51" s="4"/>
      <x:c r="F51" s="4"/>
      <x:c r="G51" s="4"/>
      <x:c r="H51" s="4"/>
    </x:row>
    <x:row r="52" ht="65" customHeight="1">
      <x:c r="A52" s="1"/>
      <x:c r="B52" s="1"/>
      <x:c r="C52" s="7"/>
      <x:c r="D52" s="1"/>
      <x:c r="E52" s="4"/>
      <x:c r="F52" s="4"/>
      <x:c r="G52" s="4"/>
      <x:c r="H52" s="4"/>
    </x:row>
    <x:row r="53" ht="65" customHeight="1">
      <x:c r="A53" s="1"/>
      <x:c r="B53" s="1"/>
      <x:c r="C53" s="7"/>
      <x:c r="D53" s="1"/>
      <x:c r="E53" s="4"/>
      <x:c r="F53" s="4"/>
      <x:c r="G53" s="4"/>
      <x:c r="H53" s="4"/>
    </x:row>
    <x:row r="54" ht="65" customHeight="1">
      <x:c r="A54" s="1"/>
      <x:c r="B54" s="1"/>
      <x:c r="C54" s="7"/>
      <x:c r="D54" s="1"/>
      <x:c r="E54" s="4"/>
      <x:c r="F54" s="4"/>
      <x:c r="G54" s="4"/>
      <x:c r="H54" s="4"/>
    </x:row>
    <x:row r="55" ht="65" customHeight="1">
      <x:c r="A55" s="1"/>
      <x:c r="B55" s="1"/>
      <x:c r="C55" s="7"/>
      <x:c r="D55" s="1"/>
      <x:c r="E55" s="4"/>
      <x:c r="F55" s="4"/>
      <x:c r="G55" s="4"/>
      <x:c r="H55" s="4"/>
    </x:row>
    <x:row r="56" ht="65" customHeight="1">
      <x:c r="A56" s="1"/>
      <x:c r="B56" s="1"/>
      <x:c r="C56" s="7"/>
      <x:c r="D56" s="1"/>
      <x:c r="E56" s="4"/>
      <x:c r="F56" s="4"/>
      <x:c r="G56" s="4"/>
      <x:c r="H56" s="4"/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Period / scope / currency safeguards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FY2025 continuing turnover</x:v>
      </x:c>
      <x:c r="B4" s="1" t="n">
        <x:f>'Actuals'!C8</x:f>
        <x:v>50503</x:v>
      </x:c>
      <x:c r="C4" s="1"/>
      <x:c r="D4" s="1"/>
      <x:c r="E4" s="1"/>
      <x:c r="F4" s="1"/>
      <x:c r="G4" s="1"/>
      <x:c r="H4" s="1"/>
    </x:row>
    <x:row r="5" ht="22" customHeight="1">
      <x:c r="A5" s="1" t="str">
        <x:v>H1 2026 continuing turnover</x:v>
      </x:c>
      <x:c r="B5" s="1" t="n">
        <x:f>'Actuals'!C13</x:f>
        <x:v>25623</x:v>
      </x:c>
      <x:c r="C5" s="1"/>
      <x:c r="D5" s="1"/>
      <x:c r="E5" s="1"/>
      <x:c r="F5" s="1"/>
      <x:c r="G5" s="1"/>
      <x:c r="H5" s="1"/>
    </x:row>
    <x:row r="6" ht="22" customHeight="1">
      <x:c r="A6" s="1" t="str">
        <x:v>H1 2025 re-presented turnover</x:v>
      </x:c>
      <x:c r="B6" s="1" t="n">
        <x:f>'Actuals'!C10</x:f>
        <x:v>25506</x:v>
      </x:c>
      <x:c r="C6" s="1"/>
      <x:c r="D6" s="1"/>
      <x:c r="E6" s="1"/>
      <x:c r="F6" s="1"/>
      <x:c r="G6" s="1"/>
      <x:c r="H6" s="1"/>
    </x:row>
    <x:row r="7" ht="22" customHeight="1">
      <x:c r="A7" s="1" t="str">
        <x:v>Valid TTM continuing turnover</x:v>
      </x:c>
      <x:c r="B7" s="1" t="n">
        <x:f>IF(AND(COUNT('Actuals'!C8,'Actuals'!C13,'Actuals'!C10)=3,MIN(B4:B6)&gt;=0),B4+B5-B6,"WITHHELD")</x:f>
        <x:v>50620</x:v>
      </x:c>
      <x:c r="C7" s="1"/>
      <x:c r="D7" s="1"/>
      <x:c r="E7" s="1"/>
      <x:c r="F7" s="1"/>
      <x:c r="G7" s="1"/>
      <x:c r="H7" s="1"/>
    </x:row>
    <x:row r="8" ht="22" customHeight="1">
      <x:c r="A8" s="1" t="str">
        <x:v>H1 2026 IFRS operating margin</x:v>
      </x:c>
      <x:c r="B8" s="8" t="n">
        <x:f>IF(AND(COUNT('Actuals'!C14,'Actuals'!C13)=2,B5&gt;0),'Actuals'!C14/B5,"WITHHELD")</x:f>
        <x:v>0.19064902626546462</x:v>
      </x:c>
      <x:c r="C8" s="1"/>
      <x:c r="D8" s="1"/>
      <x:c r="E8" s="1"/>
      <x:c r="F8" s="1"/>
      <x:c r="G8" s="1"/>
      <x:c r="H8" s="1"/>
    </x:row>
    <x:row r="9" ht="22" customHeight="1">
      <x:c r="A9" s="1" t="str">
        <x:v>TTM validity</x:v>
      </x:c>
      <x:c r="B9" s="1" t="str">
        <x:f>IF(ISNUMBER(B7),"Continuing / EUR / H1 inputs present","MISSING TTM ACTUAL")</x:f>
        <x:v>Continuing / EUR / H1 inputs present</x:v>
      </x:c>
      <x:c r="C9" s="1"/>
      <x:c r="D9" s="1"/>
      <x:c r="E9" s="1"/>
      <x:c r="F9" s="1"/>
      <x:c r="G9" s="1"/>
      <x:c r="H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 t="str">
        <x:v>London share price in GBp</x:v>
      </x:c>
      <x:c r="B12" s="10"/>
      <x:c r="C12" s="1"/>
      <x:c r="D12" s="1"/>
      <x:c r="E12" s="1"/>
      <x:c r="F12" s="1"/>
      <x:c r="G12" s="1"/>
      <x:c r="H12" s="1"/>
    </x:row>
    <x:row r="13" ht="22" customHeight="1">
      <x:c r="A13" s="1" t="str">
        <x:v>Dated EUR per GBP spot</x:v>
      </x:c>
      <x:c r="B13" s="10"/>
      <x:c r="C13" s="1"/>
      <x:c r="D13" s="1"/>
      <x:c r="E13" s="1"/>
      <x:c r="F13" s="1"/>
      <x:c r="G13" s="1"/>
      <x:c r="H13" s="1"/>
    </x:row>
    <x:row r="14" ht="22" customHeight="1">
      <x:c r="A14" s="1" t="str">
        <x:v>Share price in GBP</x:v>
      </x:c>
      <x:c r="B14" s="1" t="str">
        <x:f>IF(AND(ISNUMBER(B12),B12&gt;0),B12/100,"MISSING")</x:f>
        <x:v>MISSING</x:v>
      </x:c>
      <x:c r="C14" s="1"/>
      <x:c r="D14" s="1"/>
      <x:c r="E14" s="1"/>
      <x:c r="F14" s="1"/>
      <x:c r="G14" s="1"/>
      <x:c r="H14" s="1"/>
    </x:row>
    <x:row r="15" ht="22" customHeight="1">
      <x:c r="A15" s="1" t="str">
        <x:v>Equivalent price in EUR</x:v>
      </x:c>
      <x:c r="B15" s="1" t="str">
        <x:f>IF(AND(ISNUMBER(B14),ISNUMBER(B13),B13&gt;0),B14*B13,"MISSING")</x:f>
        <x:v>MISSING</x:v>
      </x:c>
      <x:c r="C15" s="1"/>
      <x:c r="D15" s="1"/>
      <x:c r="E15" s="1"/>
      <x:c r="F15" s="1"/>
      <x:c r="G15" s="1"/>
      <x:c r="H15" s="1"/>
    </x:row>
    <x:row r="16" ht="22" customHeight="1">
      <x:c r="A16" s="1" t="str">
        <x:v>Security valuation / shareholder return</x:v>
      </x:c>
      <x:c r="B16" s="1" t="str">
        <x:v>WITHHELD</x:v>
      </x:c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 t="str">
        <x:v>FX is a dated input, never an invented currency forecast.</x:v>
      </x:c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 t="str">
        <x:v>2025 share consolidation requires rebased per-share history.</x:v>
      </x:c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  <x:mergeCell ref="A19:F19"/>
    <x:mergeCell ref="A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u1 | 2025 Annual Report and Accounts</x:v>
      </x:c>
      <x:c r="B4" s="4" t="str">
        <x:v>Unverified / undated</x:v>
      </x:c>
      <x:c r="C4" s="4" t="str">
        <x:v>filing</x:v>
      </x:c>
      <x:c r="D4" s="4" t="str">
        <x:v>https://www.unilever.com/files/unilever-annual-report-and-accounts-2025.pdf</x:v>
      </x:c>
      <x:c r="E4" s="4" t="str">
        <x:v>selected verified numerical extract only</x:v>
      </x:c>
      <x:c r="F4" s="4" t="str">
        <x:v>2025 Annual Report printed p128 / PDF p131, consolidated income statement</x:v>
      </x:c>
      <x:c r="G4" s="1"/>
      <x:c r="H4" s="1"/>
    </x:row>
    <x:row r="5" ht="75" customHeight="1">
      <x:c r="A5" s="4" t="str">
        <x:v>u2 | Q2/H1 2026 announcement</x:v>
      </x:c>
      <x:c r="B5" s="4" t="str">
        <x:v>2026-07-28</x:v>
      </x:c>
      <x:c r="C5" s="4" t="str">
        <x:v>management</x:v>
      </x:c>
      <x:c r="D5" s="4" t="str">
        <x:v>https://www.unilever.com/files/unilever-q2-2026-results-full-announcement.pdf</x:v>
      </x:c>
      <x:c r="E5" s="4" t="str">
        <x:v>selected verified numerical extract only</x:v>
      </x:c>
      <x:c r="F5" s="4" t="str">
        <x:v>H1 announcement PDF pp22 and26 (printed pp22 and26)</x:v>
      </x:c>
      <x:c r="G5" s="1"/>
      <x:c r="H5" s="1"/>
    </x:row>
    <x:row r="6" ht="75" customHeight="1">
      <x:c r="A6" s="4"/>
      <x:c r="B6" s="4"/>
      <x:c r="C6" s="4"/>
      <x:c r="D6" s="4"/>
      <x:c r="E6" s="4"/>
      <x:c r="F6" s="4"/>
      <x:c r="G6" s="1"/>
      <x:c r="H6" s="1"/>
    </x:row>
    <x:row r="7" ht="75" customHeight="1">
      <x:c r="A7" s="4"/>
      <x:c r="B7" s="4"/>
      <x:c r="C7" s="4"/>
      <x:c r="D7" s="4"/>
      <x:c r="E7" s="4"/>
      <x:c r="F7" s="4"/>
      <x:c r="G7" s="1"/>
      <x:c r="H7" s="1"/>
    </x:row>
    <x:row r="8" ht="75" customHeight="1">
      <x:c r="A8" s="4"/>
      <x:c r="B8" s="4"/>
      <x:c r="C8" s="4"/>
      <x:c r="D8" s="4"/>
      <x:c r="E8" s="4"/>
      <x:c r="F8" s="4"/>
      <x:c r="G8" s="1"/>
      <x:c r="H8" s="1"/>
    </x:row>
    <x:row r="9" ht="75" customHeight="1">
      <x:c r="A9" s="4"/>
      <x:c r="B9" s="4"/>
      <x:c r="C9" s="4"/>
      <x:c r="D9" s="4"/>
      <x:c r="E9" s="4"/>
      <x:c r="F9" s="4"/>
      <x:c r="G9" s="1"/>
      <x:c r="H9" s="1"/>
    </x:row>
    <x:row r="10" ht="75" customHeight="1">
      <x:c r="A10" s="4"/>
      <x:c r="B10" s="4"/>
      <x:c r="C10" s="4"/>
      <x:c r="D10" s="4"/>
      <x:c r="E10" s="4"/>
      <x:c r="F10" s="4"/>
      <x:c r="G10" s="1"/>
      <x:c r="H10" s="1"/>
    </x:row>
    <x:row r="11" ht="75" customHeight="1">
      <x:c r="A11" s="4"/>
      <x:c r="B11" s="4"/>
      <x:c r="C11" s="4"/>
      <x:c r="D11" s="4"/>
      <x:c r="E11" s="4"/>
      <x:c r="F11" s="4"/>
      <x:c r="G11" s="1"/>
      <x:c r="H11" s="1"/>
    </x:row>
    <x:row r="12" ht="75" customHeight="1">
      <x:c r="A12" s="4"/>
      <x:c r="B12" s="4"/>
      <x:c r="C12" s="4"/>
      <x:c r="D12" s="4"/>
      <x:c r="E12" s="4"/>
      <x:c r="F12" s="4"/>
      <x:c r="G12" s="1"/>
      <x:c r="H12" s="1"/>
    </x:row>
    <x:row r="13" ht="75" customHeight="1">
      <x:c r="A13" s="4"/>
      <x:c r="B13" s="4"/>
      <x:c r="C13" s="4"/>
      <x:c r="D13" s="4"/>
      <x:c r="E13" s="4"/>
      <x:c r="F13" s="4"/>
      <x:c r="G13" s="1"/>
      <x:c r="H13" s="1"/>
    </x:row>
    <x:row r="14" ht="75" customHeight="1">
      <x:c r="A14" s="4"/>
      <x:c r="B14" s="4"/>
      <x:c r="C14" s="4"/>
      <x:c r="D14" s="4"/>
      <x:c r="E14" s="4"/>
      <x:c r="F14" s="4"/>
      <x:c r="G14" s="1"/>
      <x:c r="H14" s="1"/>
    </x:row>
    <x:row r="15" ht="75" customHeight="1">
      <x:c r="A15" s="4"/>
      <x:c r="B15" s="4"/>
      <x:c r="C15" s="4"/>
      <x:c r="D15" s="4"/>
      <x:c r="E15" s="4"/>
      <x:c r="F15" s="4"/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