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0cb8d99a0a42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" sheetId="1" r:id="Rc64c21b4b4074723"/>
    <x:sheet xmlns:r="http://schemas.openxmlformats.org/officeDocument/2006/relationships" name="Actuals" sheetId="2" r:id="Rc828319a8ecb4500"/>
    <x:sheet xmlns:r="http://schemas.openxmlformats.org/officeDocument/2006/relationships" name="Assumptions" sheetId="3" r:id="R9d1aec35d6c6458e"/>
    <x:sheet xmlns:r="http://schemas.openxmlformats.org/officeDocument/2006/relationships" name="Forecast" sheetId="4" r:id="Rdcf6a100b054442e"/>
    <x:sheet xmlns:r="http://schemas.openxmlformats.org/officeDocument/2006/relationships" name="Outputs" sheetId="5" r:id="R574fdccb622340ef"/>
    <x:sheet xmlns:r="http://schemas.openxmlformats.org/officeDocument/2006/relationships" name="Sensitivities" sheetId="6" r:id="Rcd48ba92a8b04891"/>
    <x:sheet xmlns:r="http://schemas.openxmlformats.org/officeDocument/2006/relationships" name="Sources" sheetId="7" r:id="R9842bd60c2f749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.000;(#,##0.000);&quot;-&quot;"/>
    <x:numFmt numFmtId="201" formatCode="yyyy-mm-dd"/>
    <x:numFmt numFmtId="202" formatCode="0.0%"/>
    <x:numFmt numFmtId="203" formatCode="#,##0.00;(#,##0.00);&quot;-&quot;"/>
    <x:numFmt numFmtId="204" formatCode="0%"/>
    <x:numFmt numFmtId="205" formatCode="0.0"/>
  </x:numFmts>
  <x:fonts count="5">
    <x:font>
      <x:sz val="11"/>
      <x:name val="Carlito"/>
    </x:font>
    <x:font>
      <x:sz val="11"/>
      <x:color rgb="FF202B33"/>
      <x:name val="Calibri"/>
    </x:font>
    <x:font>
      <x:b/>
      <x:sz val="17"/>
      <x:color rgb="FFFFFFFF"/>
      <x:name val="Calibri"/>
    </x:font>
    <x:font>
      <x:b/>
      <x:sz val="11"/>
      <x:color rgb="FF202B33"/>
      <x:name val="Calibri"/>
    </x:font>
    <x:font>
      <x:sz val="11"/>
      <x:color rgb="FF1764AB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173348"/>
      </x:patternFill>
    </x:fill>
    <x:fill>
      <x:patternFill patternType="solid">
        <x:fgColor rgb="FFDCE7EB"/>
      </x:patternFill>
    </x:fill>
    <x:fill>
      <x:patternFill patternType="solid">
        <x:fgColor rgb="FFFFF1D6"/>
      </x:patternFill>
    </x:fill>
  </x:fills>
  <x:borders count="1">
    <x:border/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200" fontId="1" fillId="0" borderId="0" xfId="0" applyNumberFormat="1" applyFont="1" applyFill="1" applyBorder="1"/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202" fontId="3" fillId="3" borderId="0" xfId="0" applyNumberFormat="1" applyFont="1" applyFill="1" applyBorder="1"/>
    <x:xf numFmtId="202" fontId="1" fillId="4" borderId="0" xfId="0" applyNumberFormat="1" applyFont="1" applyFill="1" applyBorder="1"/>
    <x:xf numFmtId="202" fontId="4" fillId="4" borderId="0" xfId="0" applyNumberFormat="1" applyFont="1" applyFill="1" applyBorder="1"/>
    <x:xf numFmtId="203" fontId="1" fillId="4" borderId="0" xfId="0" applyNumberFormat="1" applyFont="1" applyFill="1" applyBorder="1"/>
    <x:xf numFmtId="203" fontId="4" fillId="4" borderId="0" xfId="0" applyNumberFormat="1" applyFont="1" applyFill="1" applyBorder="1"/>
    <x:xf numFmtId="203" fontId="1" fillId="3" borderId="0" xfId="0" applyNumberFormat="1" applyFont="1" applyFill="1" applyBorder="1"/>
    <x:xf numFmtId="203" fontId="3" fillId="3" borderId="0" xfId="0" applyNumberFormat="1" applyFont="1" applyFill="1" applyBorder="1"/>
    <x:xf numFmtId="204" fontId="1" fillId="0" borderId="0" xfId="0" applyNumberFormat="1" applyFont="1" applyFill="1" applyBorder="1"/>
    <x:xf numFmtId="203" fontId="1" fillId="0" borderId="0" xfId="0" applyNumberFormat="1" applyFont="1" applyFill="1" applyBorder="1" applyAlignment="1">
      <x:alignment wrapText="1"/>
    </x:xf>
    <x:xf numFmtId="205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ee9f0363ae4abb" /><Relationship Type="http://schemas.openxmlformats.org/officeDocument/2006/relationships/theme" Target="/xl/theme/theme1.xml" Id="R206415eaf409402e" /><Relationship Type="http://schemas.openxmlformats.org/officeDocument/2006/relationships/sharedStrings" Target="/xl/sharedStrings.xml" Id="R9a2d7ab4ffa74dad" /><Relationship Type="http://schemas.openxmlformats.org/officeDocument/2006/relationships/worksheet" Target="/xl/worksheets/sheet1.xml" Id="Rc64c21b4b4074723" /><Relationship Type="http://schemas.openxmlformats.org/officeDocument/2006/relationships/worksheet" Target="/xl/worksheets/sheet2.xml" Id="Rc828319a8ecb4500" /><Relationship Type="http://schemas.openxmlformats.org/officeDocument/2006/relationships/worksheet" Target="/xl/worksheets/sheet3.xml" Id="R9d1aec35d6c6458e" /><Relationship Type="http://schemas.openxmlformats.org/officeDocument/2006/relationships/worksheet" Target="/xl/worksheets/sheet4.xml" Id="Rdcf6a100b054442e" /><Relationship Type="http://schemas.openxmlformats.org/officeDocument/2006/relationships/worksheet" Target="/xl/worksheets/sheet5.xml" Id="R574fdccb622340ef" /><Relationship Type="http://schemas.openxmlformats.org/officeDocument/2006/relationships/worksheet" Target="/xl/worksheets/sheet6.xml" Id="Rcd48ba92a8b04891" /><Relationship Type="http://schemas.openxmlformats.org/officeDocument/2006/relationships/worksheet" Target="/xl/worksheets/sheet7.xml" Id="R9842bd60c2f7495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6" hidden="0" customWidth="1"/>
    <x:col min="8" max="8" width="26" hidden="0" customWidth="1"/>
  </x:cols>
  <x:sheetData>
    <x:row r="1" ht="34" customHeight="1">
      <x:c r="A1" s="3" t="str">
        <x:v>AppLovin | conditional equity model</x:v>
      </x:c>
      <x:c r="B1" s="3"/>
      <x:c r="C1" s="3"/>
      <x:c r="D1" s="3"/>
      <x:c r="E1" s="3"/>
      <x:c r="F1" s="3"/>
      <x:c r="G1" s="3"/>
      <x:c r="H1" s="1"/>
    </x:row>
    <x:row r="2" ht="22" customHeight="1">
      <x:c r="A2" s="1"/>
      <x:c r="B2" s="1"/>
      <x:c r="C2" s="1"/>
      <x:c r="D2" s="1"/>
      <x:c r="E2" s="1"/>
      <x:c r="F2" s="1"/>
      <x:c r="G2" s="1"/>
      <x:c r="H2" s="1"/>
    </x:row>
    <x:row r="3" ht="22" customHeight="1">
      <x:c r="A3" s="1" t="str">
        <x:v>Research date: 2026-10-06 | Methodology 1.0.0 | Review: pending</x:v>
      </x:c>
      <x:c r="B3" s="1"/>
      <x:c r="C3" s="1"/>
      <x:c r="D3" s="1"/>
      <x:c r="E3" s="1"/>
      <x:c r="F3" s="1"/>
      <x:c r="G3" s="1"/>
      <x:c r="H3" s="1"/>
    </x:row>
    <x:row r="4" ht="22" customHeight="1">
      <x:c r="A4" s="1"/>
      <x:c r="B4" s="1"/>
      <x:c r="C4" s="1"/>
      <x:c r="D4" s="1"/>
      <x:c r="E4" s="1"/>
      <x:c r="F4" s="1"/>
      <x:c r="G4" s="1"/>
      <x:c r="H4" s="1"/>
    </x:row>
    <x:row r="5" ht="42" customHeight="1">
      <x:c r="A5" s="4" t="str">
        <x:v>Blue text on pale yellow = editable input. Black = reported inputs/formulas. Every sheet is visible.</x:v>
      </x:c>
      <x:c r="B5" s="1"/>
      <x:c r="C5" s="1"/>
      <x:c r="D5" s="1"/>
      <x:c r="E5" s="1"/>
      <x:c r="F5" s="1"/>
      <x:c r="G5" s="1"/>
      <x:c r="H5" s="1"/>
    </x:row>
    <x:row r="6" ht="42" customHeight="1">
      <x:c r="A6" s="4" t="str">
        <x:v>The PDF is a dated assessment; changing this workbook does not update its narrative.</x:v>
      </x:c>
      <x:c r="B6" s="1"/>
      <x:c r="C6" s="1"/>
      <x:c r="D6" s="1"/>
      <x:c r="E6" s="1"/>
      <x:c r="F6" s="1"/>
      <x:c r="G6" s="1"/>
      <x:c r="H6" s="1"/>
    </x:row>
    <x:row r="7" ht="42" customHeight="1">
      <x:c r="A7" s="4" t="str">
        <x:v>Select 1 Bear / 2 Base / 3 Bull / 4 What-if in Assumptions B4. Edit only What-if E15:E84 to preserve reported inputs.</x:v>
      </x:c>
      <x:c r="B7" s="1"/>
      <x:c r="C7" s="1"/>
      <x:c r="D7" s="1"/>
      <x:c r="E7" s="1"/>
      <x:c r="F7" s="1"/>
      <x:c r="G7" s="1"/>
      <x:c r="H7" s="1"/>
    </x:row>
    <x:row r="8" ht="42" customHeight="1">
      <x:c r="A8" s="4" t="str">
        <x:v>One forecast is active. Reported scenario comparison is an explicitly dated snapshot; rebuild after an approved model update.</x:v>
      </x:c>
      <x:c r="B8" s="1"/>
      <x:c r="C8" s="1"/>
      <x:c r="D8" s="1"/>
      <x:c r="E8" s="1"/>
      <x:c r="F8" s="1"/>
      <x:c r="G8" s="1"/>
      <x:c r="H8" s="1"/>
    </x:row>
    <x:row r="9" ht="42" customHeight="1">
      <x:c r="A9" s="4" t="str">
        <x:v>Values USD million, ownership million shares, per-share outputs USD. Returns gross before personal taxes and costs.</x:v>
      </x:c>
      <x:c r="B9" s="1"/>
      <x:c r="C9" s="1"/>
      <x:c r="D9" s="1"/>
      <x:c r="E9" s="1"/>
      <x:c r="F9" s="1"/>
      <x:c r="G9" s="1"/>
      <x:c r="H9" s="1"/>
    </x:row>
    <x:row r="10" ht="42" customHeight="1">
      <x:c r="A10" s="4" t="str">
        <x:v>Ownership proxy = June 30 outstanding + Q2 weighted dilutive awards + excluded awards; not a verified October fully diluted claim count. Values are conditional illustrations.</x:v>
      </x:c>
      <x:c r="B10" s="1"/>
      <x:c r="C10" s="1"/>
      <x:c r="D10" s="1"/>
      <x:c r="E10" s="1"/>
      <x:c r="F10" s="1"/>
      <x:c r="G10" s="1"/>
      <x:c r="H10" s="1"/>
    </x:row>
    <x:row r="11" ht="42" customHeight="1">
      <x:c r="A11" s="4" t="str">
        <x:v>Opening cash is June 30 cash less an assumed USD1bn operating reserve. No October balance sheet exists.</x:v>
      </x:c>
      <x:c r="B11" s="1"/>
      <x:c r="C11" s="1"/>
      <x:c r="D11" s="1"/>
      <x:c r="E11" s="1"/>
      <x:c r="F11" s="1"/>
      <x:c r="G11" s="1"/>
      <x:c r="H11" s="1"/>
    </x:row>
    <x:row r="12" ht="42" customHeight="1">
      <x:c r="A12" s="4" t="str">
        <x:v>Future SBC is treated as a cash-equivalent economic expense in EBIT. No second add-back or automatic dilution; outstanding performance awards remain a sensitivity.</x:v>
      </x:c>
      <x:c r="B12" s="1"/>
      <x:c r="C12" s="1"/>
      <x:c r="D12" s="1"/>
      <x:c r="E12" s="1"/>
      <x:c r="F12" s="1"/>
      <x:c r="G12" s="1"/>
      <x:c r="H12" s="1"/>
    </x:row>
    <x:row r="13" ht="42" customHeight="1">
      <x:c r="A13" s="4" t="str">
        <x:v>Debt is assumed refinanced at constant USD204.63m annual interest and unchanged principal, not paid down and deducted again. Refinancing is a consequential assumption.</x:v>
      </x:c>
      <x:c r="B13" s="1"/>
      <x:c r="C13" s="1"/>
      <x:c r="D13" s="1"/>
      <x:c r="E13" s="1"/>
      <x:c r="F13" s="1"/>
      <x:c r="G13" s="1"/>
      <x:c r="H13" s="1"/>
    </x:row>
    <x:row r="14" ht="42" customHeight="1">
      <x:c r="A14" s="4" t="str">
        <x:v>Tripledot equity asset excluded conservatively; zero is an explicit valuation assumption, not missing source data.</x:v>
      </x:c>
      <x:c r="B14" s="1"/>
      <x:c r="C14" s="1"/>
      <x:c r="D14" s="1"/>
      <x:c r="E14" s="1"/>
      <x:c r="F14" s="1"/>
      <x:c r="G14" s="1"/>
      <x:c r="H14" s="1"/>
    </x:row>
    <x:row r="15" ht="42" customHeight="1">
      <x:c r="A15" s="4" t="str">
        <x:v>No investment verdict is approved until targeted stronger review.</x:v>
      </x:c>
      <x:c r="B15" s="1"/>
      <x:c r="C15" s="1"/>
      <x:c r="D15" s="1"/>
      <x:c r="E15" s="1"/>
      <x:c r="F15" s="1"/>
      <x:c r="G15" s="1"/>
      <x:c r="H15" s="1"/>
    </x:row>
    <x:row r="16" ht="42" customHeight="1">
      <x:c r="A16" s="4" t="str">
        <x:v>Recalculated and export/import tested with the bundled engine. Native Microsoft Excel has not been independently opened/tested.</x:v>
      </x:c>
      <x:c r="B16" s="1"/>
      <x:c r="C16" s="1"/>
      <x:c r="D16" s="1"/>
      <x:c r="E16" s="1"/>
      <x:c r="F16" s="1"/>
      <x:c r="G16" s="1"/>
      <x:c r="H16" s="1"/>
    </x:row>
    <x:row r="17" ht="22" customHeight="1">
      <x:c r="A17" s="1"/>
      <x:c r="B17" s="1"/>
      <x:c r="C17" s="1"/>
      <x:c r="D17" s="1"/>
      <x:c r="E17" s="1"/>
      <x:c r="F17" s="1"/>
      <x:c r="G17" s="1"/>
      <x:c r="H17" s="1"/>
    </x:row>
    <x:row r="18" ht="22" customHeight="1">
      <x:c r="A18" s="1"/>
      <x:c r="B18" s="1"/>
      <x:c r="C18" s="1"/>
      <x:c r="D18" s="1"/>
      <x:c r="E18" s="1"/>
      <x:c r="F18" s="1"/>
      <x:c r="G18" s="1"/>
      <x:c r="H18" s="1"/>
    </x:row>
    <x:row r="19" ht="22" customHeight="1">
      <x:c r="A19" s="1"/>
      <x:c r="B19" s="1"/>
      <x:c r="C19" s="1"/>
      <x:c r="D19" s="1"/>
      <x:c r="E19" s="1"/>
      <x:c r="F19" s="1"/>
      <x:c r="G19" s="1"/>
      <x:c r="H19" s="1"/>
    </x:row>
    <x:row r="20" ht="22" customHeight="1">
      <x:c r="A20" s="1"/>
      <x:c r="B20" s="1"/>
      <x:c r="C20" s="1"/>
      <x:c r="D20" s="1"/>
      <x:c r="E20" s="1"/>
      <x:c r="F20" s="1"/>
      <x:c r="G20" s="1"/>
      <x:c r="H20" s="1"/>
    </x:row>
    <x:row r="21" ht="22" customHeight="1">
      <x:c r="A21" s="1"/>
      <x:c r="B21" s="1"/>
      <x:c r="C21" s="1"/>
      <x:c r="D21" s="1"/>
      <x:c r="E21" s="1"/>
      <x:c r="F21" s="1"/>
      <x:c r="G21" s="1"/>
      <x:c r="H21" s="1"/>
    </x:row>
    <x:row r="22" ht="22" customHeight="1">
      <x:c r="A22" s="1"/>
      <x:c r="B22" s="1"/>
      <x:c r="C22" s="1"/>
      <x:c r="D22" s="1"/>
      <x:c r="E22" s="1"/>
      <x:c r="F22" s="1"/>
      <x:c r="G22" s="1"/>
      <x:c r="H22" s="1"/>
    </x:row>
    <x:row r="23" ht="22" customHeight="1">
      <x:c r="A23" s="1"/>
      <x:c r="B23" s="1"/>
      <x:c r="C23" s="1"/>
      <x:c r="D23" s="1"/>
      <x:c r="E23" s="1"/>
      <x:c r="F23" s="1"/>
      <x:c r="G23" s="1"/>
      <x:c r="H23" s="1"/>
    </x:row>
    <x:row r="24" ht="22" customHeight="1">
      <x:c r="A24" s="1"/>
      <x:c r="B24" s="1"/>
      <x:c r="C24" s="1"/>
      <x:c r="D24" s="1"/>
      <x:c r="E24" s="1"/>
      <x:c r="F24" s="1"/>
      <x:c r="G24" s="1"/>
      <x:c r="H24" s="1"/>
    </x:row>
    <x:row r="25" ht="22" customHeight="1">
      <x:c r="A25" s="1"/>
      <x:c r="B25" s="1"/>
      <x:c r="C25" s="1"/>
      <x:c r="D25" s="1"/>
      <x:c r="E25" s="1"/>
      <x:c r="F25" s="1"/>
      <x:c r="G25" s="1"/>
      <x:c r="H25" s="1"/>
    </x:row>
    <x:row r="26" ht="22" customHeight="1">
      <x:c r="A26" s="1"/>
      <x:c r="B26" s="1"/>
      <x:c r="C26" s="1"/>
      <x:c r="D26" s="1"/>
      <x:c r="E26" s="1"/>
      <x:c r="F26" s="1"/>
      <x:c r="G26" s="1"/>
      <x:c r="H26" s="1"/>
    </x:row>
    <x:row r="27" ht="22" customHeight="1">
      <x:c r="A27" s="1"/>
      <x:c r="B27" s="1"/>
      <x:c r="C27" s="1"/>
      <x:c r="D27" s="1"/>
      <x:c r="E27" s="1"/>
      <x:c r="F27" s="1"/>
      <x:c r="G27" s="1"/>
      <x:c r="H27" s="1"/>
    </x:row>
    <x:row r="28" ht="22" customHeight="1">
      <x:c r="A28" s="1"/>
      <x:c r="B28" s="1"/>
      <x:c r="C28" s="1"/>
      <x:c r="D28" s="1"/>
      <x:c r="E28" s="1"/>
      <x:c r="F28" s="1"/>
      <x:c r="G28" s="1"/>
      <x:c r="H28" s="1"/>
    </x:row>
    <x:row r="29" ht="22" customHeight="1">
      <x:c r="A29" s="1"/>
      <x:c r="B29" s="1"/>
      <x:c r="C29" s="1"/>
      <x:c r="D29" s="1"/>
      <x:c r="E29" s="1"/>
      <x:c r="F29" s="1"/>
      <x:c r="G29" s="1"/>
      <x:c r="H29" s="1"/>
    </x:row>
    <x:row r="30" ht="22" customHeight="1">
      <x:c r="A30" s="1"/>
      <x:c r="B30" s="1"/>
      <x:c r="C30" s="1"/>
      <x:c r="D30" s="1"/>
      <x:c r="E30" s="1"/>
      <x:c r="F30" s="1"/>
      <x:c r="G30" s="1"/>
      <x:c r="H30" s="1"/>
    </x:row>
    <x:row r="31" ht="22" customHeight="1">
      <x:c r="A31" s="1"/>
      <x:c r="B31" s="1"/>
      <x:c r="C31" s="1"/>
      <x:c r="D31" s="1"/>
      <x:c r="E31" s="1"/>
      <x:c r="F31" s="1"/>
      <x:c r="G31" s="1"/>
      <x:c r="H31" s="1"/>
    </x:row>
    <x:row r="32" ht="22" customHeight="1">
      <x:c r="A32" s="1"/>
      <x:c r="B32" s="1"/>
      <x:c r="C32" s="1"/>
      <x:c r="D32" s="1"/>
      <x:c r="E32" s="1"/>
      <x:c r="F32" s="1"/>
      <x:c r="G32" s="1"/>
      <x:c r="H32" s="1"/>
    </x:row>
    <x:row r="33" ht="22" customHeight="1">
      <x:c r="A33" s="1"/>
      <x:c r="B33" s="1"/>
      <x:c r="C33" s="1"/>
      <x:c r="D33" s="1"/>
      <x:c r="E33" s="1"/>
      <x:c r="F33" s="1"/>
      <x:c r="G33" s="1"/>
      <x:c r="H33" s="1"/>
    </x:row>
    <x:row r="34" ht="22" customHeight="1">
      <x:c r="A34" s="1"/>
      <x:c r="B34" s="1"/>
      <x:c r="C34" s="1"/>
      <x:c r="D34" s="1"/>
      <x:c r="E34" s="1"/>
      <x:c r="F34" s="1"/>
      <x:c r="G34" s="1"/>
      <x:c r="H34" s="1"/>
    </x:row>
    <x:row r="35" ht="22" customHeight="1">
      <x:c r="A35" s="1"/>
      <x:c r="B35" s="1"/>
      <x:c r="C35" s="1"/>
      <x:c r="D35" s="1"/>
      <x:c r="E35" s="1"/>
      <x:c r="F35" s="1"/>
      <x:c r="G35" s="1"/>
      <x:c r="H35" s="1"/>
    </x:row>
    <x:row r="36" ht="22" customHeight="1">
      <x:c r="A36" s="1"/>
      <x:c r="B36" s="1"/>
      <x:c r="C36" s="1"/>
      <x:c r="D36" s="1"/>
      <x:c r="E36" s="1"/>
      <x:c r="F36" s="1"/>
      <x:c r="G36" s="1"/>
      <x:c r="H36" s="1"/>
    </x:row>
    <x:row r="37" ht="22" customHeight="1">
      <x:c r="A37" s="1"/>
      <x:c r="B37" s="1"/>
      <x:c r="C37" s="1"/>
      <x:c r="D37" s="1"/>
      <x:c r="E37" s="1"/>
      <x:c r="F37" s="1"/>
      <x:c r="G37" s="1"/>
      <x:c r="H37" s="1"/>
    </x:row>
    <x:row r="38" ht="22" customHeight="1">
      <x:c r="A38" s="1"/>
      <x:c r="B38" s="1"/>
      <x:c r="C38" s="1"/>
      <x:c r="D38" s="1"/>
      <x:c r="E38" s="1"/>
      <x:c r="F38" s="1"/>
      <x:c r="G38" s="1"/>
      <x:c r="H38" s="1"/>
    </x:row>
    <x:row r="39" ht="22" customHeight="1">
      <x:c r="A39" s="1"/>
      <x:c r="B39" s="1"/>
      <x:c r="C39" s="1"/>
      <x:c r="D39" s="1"/>
      <x:c r="E39" s="1"/>
      <x:c r="F39" s="1"/>
      <x:c r="G39" s="1"/>
      <x:c r="H39" s="1"/>
    </x:row>
    <x:row r="40" ht="22" customHeight="1">
      <x:c r="A40" s="1"/>
      <x:c r="B40" s="1"/>
      <x:c r="C40" s="1"/>
      <x:c r="D40" s="1"/>
      <x:c r="E40" s="1"/>
      <x:c r="F40" s="1"/>
      <x:c r="G40" s="1"/>
      <x:c r="H40" s="1"/>
    </x:row>
    <x:row r="41" ht="22" customHeight="1">
      <x:c r="A41" s="1"/>
      <x:c r="B41" s="1"/>
      <x:c r="C41" s="1"/>
      <x:c r="D41" s="1"/>
      <x:c r="E41" s="1"/>
      <x:c r="F41" s="1"/>
      <x:c r="G41" s="1"/>
      <x:c r="H41" s="1"/>
    </x:row>
    <x:row r="42" ht="22" customHeight="1">
      <x:c r="A42" s="1"/>
      <x:c r="B42" s="1"/>
      <x:c r="C42" s="1"/>
      <x:c r="D42" s="1"/>
      <x:c r="E42" s="1"/>
      <x:c r="F42" s="1"/>
      <x:c r="G42" s="1"/>
      <x:c r="H42" s="1"/>
    </x:row>
    <x:row r="43" ht="22" customHeight="1">
      <x:c r="A43" s="1"/>
      <x:c r="B43" s="1"/>
      <x:c r="C43" s="1"/>
      <x:c r="D43" s="1"/>
      <x:c r="E43" s="1"/>
      <x:c r="F43" s="1"/>
      <x:c r="G43" s="1"/>
      <x:c r="H43" s="1"/>
    </x:row>
    <x:row r="44" ht="22" customHeight="1">
      <x:c r="A44" s="1"/>
      <x:c r="B44" s="1"/>
      <x:c r="C44" s="1"/>
      <x:c r="D44" s="1"/>
      <x:c r="E44" s="1"/>
      <x:c r="F44" s="1"/>
      <x:c r="G44" s="1"/>
      <x:c r="H44" s="1"/>
    </x:row>
    <x:row r="45" ht="22" customHeight="1">
      <x:c r="A45" s="1"/>
      <x:c r="B45" s="1"/>
      <x:c r="C45" s="1"/>
      <x:c r="D45" s="1"/>
      <x:c r="E45" s="1"/>
      <x:c r="F45" s="1"/>
      <x:c r="G45" s="1"/>
      <x:c r="H45" s="1"/>
    </x:row>
    <x:row r="46" ht="22" customHeight="1">
      <x:c r="A46" s="1"/>
      <x:c r="B46" s="1"/>
      <x:c r="C46" s="1"/>
      <x:c r="D46" s="1"/>
      <x:c r="E46" s="1"/>
      <x:c r="F46" s="1"/>
      <x:c r="G46" s="1"/>
      <x:c r="H46" s="1"/>
    </x:row>
    <x:row r="47" ht="22" customHeight="1">
      <x:c r="A47" s="1"/>
      <x:c r="B47" s="1"/>
      <x:c r="C47" s="1"/>
      <x:c r="D47" s="1"/>
      <x:c r="E47" s="1"/>
      <x:c r="F47" s="1"/>
      <x:c r="G47" s="1"/>
      <x:c r="H47" s="1"/>
    </x:row>
    <x:row r="48" ht="22" customHeight="1">
      <x:c r="A48" s="1"/>
      <x:c r="B48" s="1"/>
      <x:c r="C48" s="1"/>
      <x:c r="D48" s="1"/>
      <x:c r="E48" s="1"/>
      <x:c r="F48" s="1"/>
      <x:c r="G48" s="1"/>
      <x:c r="H48" s="1"/>
    </x:row>
    <x:row r="49" ht="22" customHeight="1">
      <x:c r="A49" s="1"/>
      <x:c r="B49" s="1"/>
      <x:c r="C49" s="1"/>
      <x:c r="D49" s="1"/>
      <x:c r="E49" s="1"/>
      <x:c r="F49" s="1"/>
      <x:c r="G49" s="1"/>
      <x:c r="H49" s="1"/>
    </x:row>
    <x:row r="50" ht="22" customHeight="1">
      <x:c r="A50" s="1"/>
      <x:c r="B50" s="1"/>
      <x:c r="C50" s="1"/>
      <x:c r="D50" s="1"/>
      <x:c r="E50" s="1"/>
      <x:c r="F50" s="1"/>
      <x:c r="G50" s="1"/>
      <x:c r="H50" s="1"/>
    </x:row>
    <x:row r="51" ht="22" customHeight="1">
      <x:c r="A51" s="1"/>
      <x:c r="B51" s="1"/>
      <x:c r="C51" s="1"/>
      <x:c r="D51" s="1"/>
      <x:c r="E51" s="1"/>
      <x:c r="F51" s="1"/>
      <x:c r="G51" s="1"/>
      <x:c r="H51" s="1"/>
    </x:row>
    <x:row r="52" ht="22" customHeight="1">
      <x:c r="A52" s="1"/>
      <x:c r="B52" s="1"/>
      <x:c r="C52" s="1"/>
      <x:c r="D52" s="1"/>
      <x:c r="E52" s="1"/>
      <x:c r="F52" s="1"/>
      <x:c r="G52" s="1"/>
      <x:c r="H52" s="1"/>
    </x:row>
    <x:row r="53" ht="22" customHeight="1">
      <x:c r="A53" s="1"/>
      <x:c r="B53" s="1"/>
      <x:c r="C53" s="1"/>
      <x:c r="D53" s="1"/>
      <x:c r="E53" s="1"/>
      <x:c r="F53" s="1"/>
      <x:c r="G53" s="1"/>
      <x:c r="H53" s="1"/>
    </x:row>
    <x:row r="54" ht="22" customHeight="1">
      <x:c r="A54" s="1"/>
      <x:c r="B54" s="1"/>
      <x:c r="C54" s="1"/>
      <x:c r="D54" s="1"/>
      <x:c r="E54" s="1"/>
      <x:c r="F54" s="1"/>
      <x:c r="G54" s="1"/>
      <x:c r="H54" s="1"/>
    </x:row>
    <x:row r="55" ht="22" customHeight="1">
      <x:c r="A55" s="1"/>
      <x:c r="B55" s="1"/>
      <x:c r="C55" s="1"/>
      <x:c r="D55" s="1"/>
      <x:c r="E55" s="1"/>
      <x:c r="F55" s="1"/>
      <x:c r="G55" s="1"/>
      <x:c r="H55" s="1"/>
    </x:row>
    <x:row r="56" ht="22" customHeight="1">
      <x:c r="A56" s="1"/>
      <x:c r="B56" s="1"/>
      <x:c r="C56" s="1"/>
      <x:c r="D56" s="1"/>
      <x:c r="E56" s="1"/>
      <x:c r="F56" s="1"/>
      <x:c r="G56" s="1"/>
      <x:c r="H56" s="1"/>
    </x:row>
    <x:row r="57" ht="22" customHeight="1">
      <x:c r="A57" s="1"/>
      <x:c r="B57" s="1"/>
      <x:c r="C57" s="1"/>
      <x:c r="D57" s="1"/>
      <x:c r="E57" s="1"/>
      <x:c r="F57" s="1"/>
      <x:c r="G57" s="1"/>
      <x:c r="H57" s="1"/>
    </x:row>
    <x:row r="58" ht="22" customHeight="1">
      <x:c r="A58" s="1"/>
      <x:c r="B58" s="1"/>
      <x:c r="C58" s="1"/>
      <x:c r="D58" s="1"/>
      <x:c r="E58" s="1"/>
      <x:c r="F58" s="1"/>
      <x:c r="G58" s="1"/>
      <x:c r="H58" s="1"/>
    </x:row>
    <x:row r="59" ht="22" customHeight="1">
      <x:c r="A59" s="1"/>
      <x:c r="B59" s="1"/>
      <x:c r="C59" s="1"/>
      <x:c r="D59" s="1"/>
      <x:c r="E59" s="1"/>
      <x:c r="F59" s="1"/>
      <x:c r="G59" s="1"/>
      <x:c r="H59" s="1"/>
    </x:row>
    <x:row r="60" ht="22" customHeight="1">
      <x:c r="A60" s="1"/>
      <x:c r="B60" s="1"/>
      <x:c r="C60" s="1"/>
      <x:c r="D60" s="1"/>
      <x:c r="E60" s="1"/>
      <x:c r="F60" s="1"/>
      <x:c r="G60" s="1"/>
      <x:c r="H60" s="1"/>
    </x:row>
    <x:row r="61" ht="22" customHeight="1">
      <x:c r="A61" s="1"/>
      <x:c r="B61" s="1"/>
      <x:c r="C61" s="1"/>
      <x:c r="D61" s="1"/>
      <x:c r="E61" s="1"/>
      <x:c r="F61" s="1"/>
      <x:c r="G61" s="1"/>
      <x:c r="H61" s="1"/>
    </x:row>
    <x:row r="62" ht="22" customHeight="1">
      <x:c r="A62" s="1"/>
      <x:c r="B62" s="1"/>
      <x:c r="C62" s="1"/>
      <x:c r="D62" s="1"/>
      <x:c r="E62" s="1"/>
      <x:c r="F62" s="1"/>
      <x:c r="G62" s="1"/>
      <x:c r="H62" s="1"/>
    </x:row>
    <x:row r="63" ht="22" customHeight="1">
      <x:c r="A63" s="1"/>
      <x:c r="B63" s="1"/>
      <x:c r="C63" s="1"/>
      <x:c r="D63" s="1"/>
      <x:c r="E63" s="1"/>
      <x:c r="F63" s="1"/>
      <x:c r="G63" s="1"/>
      <x:c r="H63" s="1"/>
    </x:row>
    <x:row r="64" ht="22" customHeight="1">
      <x:c r="A64" s="1"/>
      <x:c r="B64" s="1"/>
      <x:c r="C64" s="1"/>
      <x:c r="D64" s="1"/>
      <x:c r="E64" s="1"/>
      <x:c r="F64" s="1"/>
      <x:c r="G64" s="1"/>
      <x:c r="H64" s="1"/>
    </x:row>
    <x:row r="65" ht="22" customHeight="1">
      <x:c r="A65" s="1"/>
      <x:c r="B65" s="1"/>
      <x:c r="C65" s="1"/>
      <x:c r="D65" s="1"/>
      <x:c r="E65" s="1"/>
      <x:c r="F65" s="1"/>
      <x:c r="G65" s="1"/>
      <x:c r="H65" s="1"/>
    </x:row>
    <x:row r="66" ht="22" customHeight="1">
      <x:c r="A66" s="1"/>
      <x:c r="B66" s="1"/>
      <x:c r="C66" s="1"/>
      <x:c r="D66" s="1"/>
      <x:c r="E66" s="1"/>
      <x:c r="F66" s="1"/>
      <x:c r="G66" s="1"/>
      <x:c r="H66" s="1"/>
    </x:row>
    <x:row r="67" ht="22" customHeight="1">
      <x:c r="A67" s="1"/>
      <x:c r="B67" s="1"/>
      <x:c r="C67" s="1"/>
      <x:c r="D67" s="1"/>
      <x:c r="E67" s="1"/>
      <x:c r="F67" s="1"/>
      <x:c r="G67" s="1"/>
      <x:c r="H67" s="1"/>
    </x:row>
    <x:row r="68" ht="22" customHeight="1">
      <x:c r="A68" s="1"/>
      <x:c r="B68" s="1"/>
      <x:c r="C68" s="1"/>
      <x:c r="D68" s="1"/>
      <x:c r="E68" s="1"/>
      <x:c r="F68" s="1"/>
      <x:c r="G68" s="1"/>
      <x:c r="H68" s="1"/>
    </x:row>
    <x:row r="69" ht="22" customHeight="1">
      <x:c r="A69" s="1"/>
      <x:c r="B69" s="1"/>
      <x:c r="C69" s="1"/>
      <x:c r="D69" s="1"/>
      <x:c r="E69" s="1"/>
      <x:c r="F69" s="1"/>
      <x:c r="G69" s="1"/>
      <x:c r="H69" s="1"/>
    </x:row>
    <x:row r="70" ht="22" customHeight="1">
      <x:c r="A70" s="1"/>
      <x:c r="B70" s="1"/>
      <x:c r="C70" s="1"/>
      <x:c r="D70" s="1"/>
      <x:c r="E70" s="1"/>
      <x:c r="F70" s="1"/>
      <x:c r="G70" s="1"/>
      <x:c r="H70" s="1"/>
    </x:row>
    <x:row r="71" ht="22" customHeight="1">
      <x:c r="A71" s="1"/>
      <x:c r="B71" s="1"/>
      <x:c r="C71" s="1"/>
      <x:c r="D71" s="1"/>
      <x:c r="E71" s="1"/>
      <x:c r="F71" s="1"/>
      <x:c r="G71" s="1"/>
      <x:c r="H71" s="1"/>
    </x:row>
    <x:row r="72" ht="22" customHeight="1">
      <x:c r="A72" s="1"/>
      <x:c r="B72" s="1"/>
      <x:c r="C72" s="1"/>
      <x:c r="D72" s="1"/>
      <x:c r="E72" s="1"/>
      <x:c r="F72" s="1"/>
      <x:c r="G72" s="1"/>
      <x:c r="H72" s="1"/>
    </x:row>
    <x:row r="73" ht="22" customHeight="1">
      <x:c r="A73" s="1"/>
      <x:c r="B73" s="1"/>
      <x:c r="C73" s="1"/>
      <x:c r="D73" s="1"/>
      <x:c r="E73" s="1"/>
      <x:c r="F73" s="1"/>
      <x:c r="G73" s="1"/>
      <x:c r="H73" s="1"/>
    </x:row>
    <x:row r="74" ht="22" customHeight="1">
      <x:c r="A74" s="1"/>
      <x:c r="B74" s="1"/>
      <x:c r="C74" s="1"/>
      <x:c r="D74" s="1"/>
      <x:c r="E74" s="1"/>
      <x:c r="F74" s="1"/>
      <x:c r="G74" s="1"/>
      <x:c r="H74" s="1"/>
    </x:row>
    <x:row r="75" ht="22" customHeight="1">
      <x:c r="A75" s="1"/>
      <x:c r="B75" s="1"/>
      <x:c r="C75" s="1"/>
      <x:c r="D75" s="1"/>
      <x:c r="E75" s="1"/>
      <x:c r="F75" s="1"/>
      <x:c r="G75" s="1"/>
      <x:c r="H75" s="1"/>
    </x:row>
    <x:row r="76" ht="22" customHeight="1">
      <x:c r="A76" s="1"/>
      <x:c r="B76" s="1"/>
      <x:c r="C76" s="1"/>
      <x:c r="D76" s="1"/>
      <x:c r="E76" s="1"/>
      <x:c r="F76" s="1"/>
      <x:c r="G76" s="1"/>
      <x:c r="H76" s="1"/>
    </x:row>
    <x:row r="77" ht="22" customHeight="1">
      <x:c r="A77" s="1"/>
      <x:c r="B77" s="1"/>
      <x:c r="C77" s="1"/>
      <x:c r="D77" s="1"/>
      <x:c r="E77" s="1"/>
      <x:c r="F77" s="1"/>
      <x:c r="G77" s="1"/>
      <x:c r="H77" s="1"/>
    </x:row>
    <x:row r="78" ht="22" customHeight="1">
      <x:c r="A78" s="1"/>
      <x:c r="B78" s="1"/>
      <x:c r="C78" s="1"/>
      <x:c r="D78" s="1"/>
      <x:c r="E78" s="1"/>
      <x:c r="F78" s="1"/>
      <x:c r="G78" s="1"/>
      <x:c r="H78" s="1"/>
    </x:row>
    <x:row r="79" ht="22" customHeight="1">
      <x:c r="A79" s="1"/>
      <x:c r="B79" s="1"/>
      <x:c r="C79" s="1"/>
      <x:c r="D79" s="1"/>
      <x:c r="E79" s="1"/>
      <x:c r="F79" s="1"/>
      <x:c r="G79" s="1"/>
      <x:c r="H79" s="1"/>
    </x:row>
    <x:row r="80" ht="22" customHeight="1">
      <x:c r="A80" s="1"/>
      <x:c r="B80" s="1"/>
      <x:c r="C80" s="1"/>
      <x:c r="D80" s="1"/>
      <x:c r="E80" s="1"/>
      <x:c r="F80" s="1"/>
      <x:c r="G80" s="1"/>
      <x:c r="H80" s="1"/>
    </x:row>
    <x:row r="81" ht="22" customHeight="1">
      <x:c r="A81" s="1"/>
      <x:c r="B81" s="1"/>
      <x:c r="C81" s="1"/>
      <x:c r="D81" s="1"/>
      <x:c r="E81" s="1"/>
      <x:c r="F81" s="1"/>
      <x:c r="G81" s="1"/>
      <x:c r="H81" s="1"/>
    </x:row>
    <x:row r="82" ht="22" customHeight="1">
      <x:c r="A82" s="1"/>
      <x:c r="B82" s="1"/>
      <x:c r="C82" s="1"/>
      <x:c r="D82" s="1"/>
      <x:c r="E82" s="1"/>
      <x:c r="F82" s="1"/>
      <x:c r="G82" s="1"/>
      <x:c r="H82" s="1"/>
    </x:row>
    <x:row r="83" ht="22" customHeight="1">
      <x:c r="A83" s="1"/>
      <x:c r="B83" s="1"/>
      <x:c r="C83" s="1"/>
      <x:c r="D83" s="1"/>
      <x:c r="E83" s="1"/>
      <x:c r="F83" s="1"/>
      <x:c r="G83" s="1"/>
      <x:c r="H83" s="1"/>
    </x:row>
    <x:row r="84" ht="22" customHeight="1">
      <x:c r="A84" s="1"/>
      <x:c r="B84" s="1"/>
      <x:c r="C84" s="1"/>
      <x:c r="D84" s="1"/>
      <x:c r="E84" s="1"/>
      <x:c r="F84" s="1"/>
      <x:c r="G84" s="1"/>
      <x:c r="H84" s="1"/>
    </x:row>
    <x:row r="85" ht="22" customHeight="1">
      <x:c r="A85" s="1"/>
      <x:c r="B85" s="1"/>
      <x:c r="C85" s="1"/>
      <x:c r="D85" s="1"/>
      <x:c r="E85" s="1"/>
      <x:c r="F85" s="1"/>
      <x:c r="G85" s="1"/>
      <x:c r="H85" s="1"/>
    </x:row>
    <x:row r="86" ht="22" customHeight="1">
      <x:c r="A86" s="1"/>
      <x:c r="B86" s="1"/>
      <x:c r="C86" s="1"/>
      <x:c r="D86" s="1"/>
      <x:c r="E86" s="1"/>
      <x:c r="F86" s="1"/>
      <x:c r="G86" s="1"/>
      <x:c r="H86" s="1"/>
    </x:row>
    <x:row r="87" ht="22" customHeight="1">
      <x:c r="A87" s="1"/>
      <x:c r="B87" s="1"/>
      <x:c r="C87" s="1"/>
      <x:c r="D87" s="1"/>
      <x:c r="E87" s="1"/>
      <x:c r="F87" s="1"/>
      <x:c r="G87" s="1"/>
      <x:c r="H87" s="1"/>
    </x:row>
    <x:row r="88" ht="22" customHeight="1">
      <x:c r="A88" s="1"/>
      <x:c r="B88" s="1"/>
      <x:c r="C88" s="1"/>
      <x:c r="D88" s="1"/>
      <x:c r="E88" s="1"/>
      <x:c r="F88" s="1"/>
      <x:c r="G88" s="1"/>
      <x:c r="H88" s="1"/>
    </x:row>
    <x:row r="89" ht="22" customHeight="1">
      <x:c r="A89" s="1"/>
      <x:c r="B89" s="1"/>
      <x:c r="C89" s="1"/>
      <x:c r="D89" s="1"/>
      <x:c r="E89" s="1"/>
      <x:c r="F89" s="1"/>
      <x:c r="G89" s="1"/>
      <x:c r="H89" s="1"/>
    </x:row>
    <x:row r="90" ht="22" customHeight="1">
      <x:c r="A90" s="1"/>
      <x:c r="B90" s="1"/>
      <x:c r="C90" s="1"/>
      <x:c r="D90" s="1"/>
      <x:c r="E90" s="1"/>
      <x:c r="F90" s="1"/>
      <x:c r="G90" s="1"/>
      <x:c r="H90" s="1"/>
    </x:row>
    <x:row r="91" ht="22" customHeight="1">
      <x:c r="A91" s="1"/>
      <x:c r="B91" s="1"/>
      <x:c r="C91" s="1"/>
      <x:c r="D91" s="1"/>
      <x:c r="E91" s="1"/>
      <x:c r="F91" s="1"/>
      <x:c r="G91" s="1"/>
      <x:c r="H91" s="1"/>
    </x:row>
    <x:row r="92" ht="22" customHeight="1">
      <x:c r="A92" s="1"/>
      <x:c r="B92" s="1"/>
      <x:c r="C92" s="1"/>
      <x:c r="D92" s="1"/>
      <x:c r="E92" s="1"/>
      <x:c r="F92" s="1"/>
      <x:c r="G92" s="1"/>
      <x:c r="H92" s="1"/>
    </x:row>
    <x:row r="93" ht="22" customHeight="1">
      <x:c r="A93" s="1"/>
      <x:c r="B93" s="1"/>
      <x:c r="C93" s="1"/>
      <x:c r="D93" s="1"/>
      <x:c r="E93" s="1"/>
      <x:c r="F93" s="1"/>
      <x:c r="G93" s="1"/>
      <x:c r="H93" s="1"/>
    </x:row>
    <x:row r="94" ht="22" customHeight="1">
      <x:c r="A94" s="1"/>
      <x:c r="B94" s="1"/>
      <x:c r="C94" s="1"/>
      <x:c r="D94" s="1"/>
      <x:c r="E94" s="1"/>
      <x:c r="F94" s="1"/>
      <x:c r="G94" s="1"/>
      <x:c r="H94" s="1"/>
    </x:row>
    <x:row r="95" ht="22" customHeight="1">
      <x:c r="A95" s="1"/>
      <x:c r="B95" s="1"/>
      <x:c r="C95" s="1"/>
      <x:c r="D95" s="1"/>
      <x:c r="E95" s="1"/>
      <x:c r="F95" s="1"/>
      <x:c r="G95" s="1"/>
      <x:c r="H95" s="1"/>
    </x:row>
    <x:row r="96" ht="22" customHeight="1">
      <x:c r="A96" s="1"/>
      <x:c r="B96" s="1"/>
      <x:c r="C96" s="1"/>
      <x:c r="D96" s="1"/>
      <x:c r="E96" s="1"/>
      <x:c r="F96" s="1"/>
      <x:c r="G96" s="1"/>
      <x:c r="H96" s="1"/>
    </x:row>
    <x:row r="97" ht="22" customHeight="1">
      <x:c r="A97" s="1"/>
      <x:c r="B97" s="1"/>
      <x:c r="C97" s="1"/>
      <x:c r="D97" s="1"/>
      <x:c r="E97" s="1"/>
      <x:c r="F97" s="1"/>
      <x:c r="G97" s="1"/>
      <x:c r="H97" s="1"/>
    </x:row>
    <x:row r="98" ht="22" customHeight="1">
      <x:c r="A98" s="1"/>
      <x:c r="B98" s="1"/>
      <x:c r="C98" s="1"/>
      <x:c r="D98" s="1"/>
      <x:c r="E98" s="1"/>
      <x:c r="F98" s="1"/>
      <x:c r="G98" s="1"/>
      <x:c r="H98" s="1"/>
    </x:row>
    <x:row r="99" ht="22" customHeight="1">
      <x:c r="A99" s="1"/>
      <x:c r="B99" s="1"/>
      <x:c r="C99" s="1"/>
      <x:c r="D99" s="1"/>
      <x:c r="E99" s="1"/>
      <x:c r="F99" s="1"/>
      <x:c r="G99" s="1"/>
      <x:c r="H99" s="1"/>
    </x:row>
    <x:row r="100" ht="22" customHeight="1">
      <x:c r="A100" s="1"/>
      <x:c r="B100" s="1"/>
      <x:c r="C100" s="1"/>
      <x:c r="D100" s="1"/>
      <x:c r="E100" s="1"/>
      <x:c r="F100" s="1"/>
      <x:c r="G100" s="1"/>
      <x:c r="H100" s="1"/>
    </x:row>
  </x:sheetData>
  <x:mergeCells>
    <x:mergeCell ref="A1:G1"/>
    <x:mergeCell ref="A3:G3"/>
    <x:mergeCell ref="A5:G5"/>
    <x:mergeCell ref="A6:G6"/>
    <x:mergeCell ref="A7:G7"/>
    <x:mergeCell ref="A8:G8"/>
    <x:mergeCell ref="A9:G9"/>
    <x:mergeCell ref="A10:G10"/>
    <x:mergeCell ref="A11:G11"/>
    <x:mergeCell ref="A12:G12"/>
    <x:mergeCell ref="A13:G13"/>
    <x:mergeCell ref="A14:G14"/>
    <x:mergeCell ref="A15:G15"/>
    <x:mergeCell ref="A16:G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7" hidden="0" customWidth="1"/>
    <x:col min="2" max="2" width="18" hidden="0" customWidth="1"/>
    <x:col min="3" max="3" width="18" hidden="0" customWidth="1"/>
    <x:col min="4" max="4" width="18" hidden="0" customWidth="1"/>
    <x:col min="5" max="5" width="40" hidden="0" customWidth="1"/>
    <x:col min="6" max="6" width="12" hidden="0" customWidth="1"/>
    <x:col min="7" max="7" width="52" hidden="0" customWidth="1"/>
    <x:col min="8" max="8" width="26" hidden="0" customWidth="1"/>
  </x:cols>
  <x:sheetData>
    <x:row r="1" ht="34" customHeight="1">
      <x:c r="A1" s="3" t="str">
        <x:v>Sourced historical inputs</x:v>
      </x:c>
      <x:c r="B1" s="3"/>
      <x:c r="C1" s="3"/>
      <x:c r="D1" s="3"/>
      <x:c r="E1" s="3"/>
      <x:c r="F1" s="3"/>
      <x:c r="G1" s="3"/>
      <x:c r="H1" s="3"/>
    </x:row>
    <x:row r="2" ht="22" customHeight="1">
      <x:c r="A2" s="1"/>
      <x:c r="B2" s="1"/>
      <x:c r="C2" s="1"/>
      <x:c r="D2" s="1"/>
      <x:c r="E2" s="1"/>
      <x:c r="F2" s="1"/>
      <x:c r="G2" s="1"/>
      <x:c r="H2" s="1"/>
    </x:row>
    <x:row r="3" ht="22" customHeight="1">
      <x:c r="A3" s="6" t="str">
        <x:v>Metric</x:v>
      </x:c>
      <x:c r="B3" s="6" t="str">
        <x:v>Period</x:v>
      </x:c>
      <x:c r="C3" s="6" t="str">
        <x:v>Reported value</x:v>
      </x:c>
      <x:c r="D3" s="6" t="str">
        <x:v>Unit</x:v>
      </x:c>
      <x:c r="E3" s="6" t="str">
        <x:v>Scope</x:v>
      </x:c>
      <x:c r="F3" s="6" t="str">
        <x:v>Source</x:v>
      </x:c>
      <x:c r="G3" s="6" t="str">
        <x:v>Location</x:v>
      </x:c>
      <x:c r="H3" s="6" t="str">
        <x:v>Status</x:v>
      </x:c>
    </x:row>
    <x:row r="4" ht="65" customHeight="1">
      <x:c r="A4" s="1" t="str">
        <x:v>Revenue</x:v>
      </x:c>
      <x:c r="B4" s="1" t="str">
        <x:v>2023</x:v>
      </x:c>
      <x:c r="C4" s="7" t="n">
        <x:v>1841.762</x:v>
      </x:c>
      <x:c r="D4" s="1" t="str">
        <x:v>USD million</x:v>
      </x:c>
      <x:c r="E4" s="4" t="str">
        <x:v>continuing</x:v>
      </x:c>
      <x:c r="F4" s="4" t="str">
        <x:v>a1</x:v>
      </x:c>
      <x:c r="G4" s="4" t="str">
        <x:v>2025 Form 10-K, audited statements of operations p54</x:v>
      </x:c>
      <x:c r="H4" s="4" t="str">
        <x:v>verified-reported</x:v>
      </x:c>
    </x:row>
    <x:row r="5" ht="65" customHeight="1">
      <x:c r="A5" s="1" t="str">
        <x:v>Revenue</x:v>
      </x:c>
      <x:c r="B5" s="1" t="str">
        <x:v>2024</x:v>
      </x:c>
      <x:c r="C5" s="7" t="n">
        <x:v>3224.058</x:v>
      </x:c>
      <x:c r="D5" s="1" t="str">
        <x:v>USD million</x:v>
      </x:c>
      <x:c r="E5" s="4" t="str">
        <x:v>continuing</x:v>
      </x:c>
      <x:c r="F5" s="4" t="str">
        <x:v>a1</x:v>
      </x:c>
      <x:c r="G5" s="4" t="str">
        <x:v>2025 Form 10-K, audited statements of operations p54</x:v>
      </x:c>
      <x:c r="H5" s="4" t="str">
        <x:v>verified-reported</x:v>
      </x:c>
    </x:row>
    <x:row r="6" ht="65" customHeight="1">
      <x:c r="A6" s="1" t="str">
        <x:v>Revenue</x:v>
      </x:c>
      <x:c r="B6" s="1" t="str">
        <x:v>2025</x:v>
      </x:c>
      <x:c r="C6" s="7" t="n">
        <x:v>5480.717</x:v>
      </x:c>
      <x:c r="D6" s="1" t="str">
        <x:v>USD million</x:v>
      </x:c>
      <x:c r="E6" s="4" t="str">
        <x:v>continuing</x:v>
      </x:c>
      <x:c r="F6" s="4" t="str">
        <x:v>a1</x:v>
      </x:c>
      <x:c r="G6" s="4" t="str">
        <x:v>2025 Form 10-K, audited statements of operations p54</x:v>
      </x:c>
      <x:c r="H6" s="4" t="str">
        <x:v>verified-reported</x:v>
      </x:c>
    </x:row>
    <x:row r="7" ht="65" customHeight="1">
      <x:c r="A7" s="1" t="str">
        <x:v>EBIT</x:v>
      </x:c>
      <x:c r="B7" s="1" t="str">
        <x:v>2023</x:v>
      </x:c>
      <x:c r="C7" s="7" t="n">
        <x:v>772.411</x:v>
      </x:c>
      <x:c r="D7" s="1" t="str">
        <x:v>USD million</x:v>
      </x:c>
      <x:c r="E7" s="4" t="str">
        <x:v>continuing</x:v>
      </x:c>
      <x:c r="F7" s="4" t="str">
        <x:v>a1</x:v>
      </x:c>
      <x:c r="G7" s="4" t="str">
        <x:v>2025 Form 10-K, audited statements of operations p54</x:v>
      </x:c>
      <x:c r="H7" s="4" t="str">
        <x:v>verified-reported</x:v>
      </x:c>
    </x:row>
    <x:row r="8" ht="65" customHeight="1">
      <x:c r="A8" s="1" t="str">
        <x:v>EBIT</x:v>
      </x:c>
      <x:c r="B8" s="1" t="str">
        <x:v>2024</x:v>
      </x:c>
      <x:c r="C8" s="7" t="n">
        <x:v>1910.956</x:v>
      </x:c>
      <x:c r="D8" s="1" t="str">
        <x:v>USD million</x:v>
      </x:c>
      <x:c r="E8" s="4" t="str">
        <x:v>continuing</x:v>
      </x:c>
      <x:c r="F8" s="4" t="str">
        <x:v>a1</x:v>
      </x:c>
      <x:c r="G8" s="4" t="str">
        <x:v>2025 Form 10-K, audited statements of operations p54</x:v>
      </x:c>
      <x:c r="H8" s="4" t="str">
        <x:v>verified-reported</x:v>
      </x:c>
    </x:row>
    <x:row r="9" ht="65" customHeight="1">
      <x:c r="A9" s="1" t="str">
        <x:v>EBIT</x:v>
      </x:c>
      <x:c r="B9" s="1" t="str">
        <x:v>2025</x:v>
      </x:c>
      <x:c r="C9" s="7" t="n">
        <x:v>4151.914</x:v>
      </x:c>
      <x:c r="D9" s="1" t="str">
        <x:v>USD million</x:v>
      </x:c>
      <x:c r="E9" s="4" t="str">
        <x:v>continuing</x:v>
      </x:c>
      <x:c r="F9" s="4" t="str">
        <x:v>a1</x:v>
      </x:c>
      <x:c r="G9" s="4" t="str">
        <x:v>2025 Form 10-K, audited statements of operations p54</x:v>
      </x:c>
      <x:c r="H9" s="4" t="str">
        <x:v>verified-reported</x:v>
      </x:c>
    </x:row>
    <x:row r="10" ht="65" customHeight="1">
      <x:c r="A10" s="1" t="str">
        <x:v>Continuing net income</x:v>
      </x:c>
      <x:c r="B10" s="1" t="str">
        <x:v>2023</x:v>
      </x:c>
      <x:c r="C10" s="7" t="n">
        <x:v>457.826</x:v>
      </x:c>
      <x:c r="D10" s="1" t="str">
        <x:v>USD million</x:v>
      </x:c>
      <x:c r="E10" s="4" t="str">
        <x:v>continuing</x:v>
      </x:c>
      <x:c r="F10" s="4" t="str">
        <x:v>a1</x:v>
      </x:c>
      <x:c r="G10" s="4" t="str">
        <x:v>2025 Form 10-K, audited statements of operations p54</x:v>
      </x:c>
      <x:c r="H10" s="4" t="str">
        <x:v>verified-reported</x:v>
      </x:c>
    </x:row>
    <x:row r="11" ht="65" customHeight="1">
      <x:c r="A11" s="1" t="str">
        <x:v>Continuing net income</x:v>
      </x:c>
      <x:c r="B11" s="1" t="str">
        <x:v>2024</x:v>
      </x:c>
      <x:c r="C11" s="7" t="n">
        <x:v>1589.524</x:v>
      </x:c>
      <x:c r="D11" s="1" t="str">
        <x:v>USD million</x:v>
      </x:c>
      <x:c r="E11" s="4" t="str">
        <x:v>continuing</x:v>
      </x:c>
      <x:c r="F11" s="4" t="str">
        <x:v>a1</x:v>
      </x:c>
      <x:c r="G11" s="4" t="str">
        <x:v>2025 Form 10-K, audited statements of operations p54</x:v>
      </x:c>
      <x:c r="H11" s="4" t="str">
        <x:v>verified-reported</x:v>
      </x:c>
    </x:row>
    <x:row r="12" ht="65" customHeight="1">
      <x:c r="A12" s="1" t="str">
        <x:v>Continuing net income</x:v>
      </x:c>
      <x:c r="B12" s="1" t="str">
        <x:v>2025</x:v>
      </x:c>
      <x:c r="C12" s="7" t="n">
        <x:v>3433.195</x:v>
      </x:c>
      <x:c r="D12" s="1" t="str">
        <x:v>USD million</x:v>
      </x:c>
      <x:c r="E12" s="4" t="str">
        <x:v>continuing</x:v>
      </x:c>
      <x:c r="F12" s="4" t="str">
        <x:v>a1</x:v>
      </x:c>
      <x:c r="G12" s="4" t="str">
        <x:v>2025 Form 10-K, audited statements of operations p54</x:v>
      </x:c>
      <x:c r="H12" s="4" t="str">
        <x:v>verified-reported</x:v>
      </x:c>
    </x:row>
    <x:row r="13" ht="65" customHeight="1">
      <x:c r="A13" s="1" t="str">
        <x:v>Diluted weighted shares</x:v>
      </x:c>
      <x:c r="B13" s="1" t="str">
        <x:v>2023</x:v>
      </x:c>
      <x:c r="C13" s="7" t="n">
        <x:v>362.589</x:v>
      </x:c>
      <x:c r="D13" s="1" t="str">
        <x:v>shares million</x:v>
      </x:c>
      <x:c r="E13" s="4" t="str">
        <x:v>continuing</x:v>
      </x:c>
      <x:c r="F13" s="4" t="str">
        <x:v>a1</x:v>
      </x:c>
      <x:c r="G13" s="4" t="str">
        <x:v>2025 Form 10-K, audited statements of operations p54</x:v>
      </x:c>
      <x:c r="H13" s="4" t="str">
        <x:v>verified-reported</x:v>
      </x:c>
    </x:row>
    <x:row r="14" ht="65" customHeight="1">
      <x:c r="A14" s="1" t="str">
        <x:v>Diluted weighted shares</x:v>
      </x:c>
      <x:c r="B14" s="1" t="str">
        <x:v>2024</x:v>
      </x:c>
      <x:c r="C14" s="7" t="n">
        <x:v>347.808</x:v>
      </x:c>
      <x:c r="D14" s="1" t="str">
        <x:v>shares million</x:v>
      </x:c>
      <x:c r="E14" s="4" t="str">
        <x:v>continuing</x:v>
      </x:c>
      <x:c r="F14" s="4" t="str">
        <x:v>a1</x:v>
      </x:c>
      <x:c r="G14" s="4" t="str">
        <x:v>2025 Form 10-K, audited statements of operations p54</x:v>
      </x:c>
      <x:c r="H14" s="4" t="str">
        <x:v>verified-reported</x:v>
      </x:c>
    </x:row>
    <x:row r="15" ht="65" customHeight="1">
      <x:c r="A15" s="1" t="str">
        <x:v>Diluted weighted shares</x:v>
      </x:c>
      <x:c r="B15" s="1" t="str">
        <x:v>2025</x:v>
      </x:c>
      <x:c r="C15" s="7" t="n">
        <x:v>341.97</x:v>
      </x:c>
      <x:c r="D15" s="1" t="str">
        <x:v>shares million</x:v>
      </x:c>
      <x:c r="E15" s="4" t="str">
        <x:v>continuing</x:v>
      </x:c>
      <x:c r="F15" s="4" t="str">
        <x:v>a1</x:v>
      </x:c>
      <x:c r="G15" s="4" t="str">
        <x:v>2025 Form 10-K, audited statements of operations p54</x:v>
      </x:c>
      <x:c r="H15" s="4" t="str">
        <x:v>verified-reported</x:v>
      </x:c>
    </x:row>
    <x:row r="16" ht="65" customHeight="1">
      <x:c r="A16" s="1" t="str">
        <x:v>Revenue</x:v>
      </x:c>
      <x:c r="B16" s="1" t="str">
        <x:v>2021</x:v>
      </x:c>
      <x:c r="C16" s="7" t="n">
        <x:v>2793.104</x:v>
      </x:c>
      <x:c r="D16" s="1" t="str">
        <x:v>USD million</x:v>
      </x:c>
      <x:c r="E16" s="4" t="str">
        <x:v>original total group; includes divested Apps</x:v>
      </x:c>
      <x:c r="F16" s="4" t="str">
        <x:v>a9</x:v>
      </x:c>
      <x:c r="G16" s="4" t="str">
        <x:v>2022 Form 10-K, statements of operations</x:v>
      </x:c>
      <x:c r="H16" s="4" t="str">
        <x:v>verified-reported</x:v>
      </x:c>
    </x:row>
    <x:row r="17" ht="65" customHeight="1">
      <x:c r="A17" s="1" t="str">
        <x:v>Revenue</x:v>
      </x:c>
      <x:c r="B17" s="1" t="str">
        <x:v>2022</x:v>
      </x:c>
      <x:c r="C17" s="7" t="n">
        <x:v>2817.058</x:v>
      </x:c>
      <x:c r="D17" s="1" t="str">
        <x:v>USD million</x:v>
      </x:c>
      <x:c r="E17" s="4" t="str">
        <x:v>original total group; includes divested Apps</x:v>
      </x:c>
      <x:c r="F17" s="4" t="str">
        <x:v>a9</x:v>
      </x:c>
      <x:c r="G17" s="4" t="str">
        <x:v>2022 Form 10-K, statements of operations</x:v>
      </x:c>
      <x:c r="H17" s="4" t="str">
        <x:v>verified-reported</x:v>
      </x:c>
    </x:row>
    <x:row r="18" ht="65" customHeight="1">
      <x:c r="A18" s="1" t="str">
        <x:v>EBIT</x:v>
      </x:c>
      <x:c r="B18" s="1" t="str">
        <x:v>2021</x:v>
      </x:c>
      <x:c r="C18" s="7" t="n">
        <x:v>150.016</x:v>
      </x:c>
      <x:c r="D18" s="1" t="str">
        <x:v>USD million</x:v>
      </x:c>
      <x:c r="E18" s="4" t="str">
        <x:v>original total group; includes divested Apps</x:v>
      </x:c>
      <x:c r="F18" s="4" t="str">
        <x:v>a9</x:v>
      </x:c>
      <x:c r="G18" s="4" t="str">
        <x:v>2022 Form 10-K, statements of operations</x:v>
      </x:c>
      <x:c r="H18" s="4" t="str">
        <x:v>verified-reported</x:v>
      </x:c>
    </x:row>
    <x:row r="19" ht="65" customHeight="1">
      <x:c r="A19" s="1" t="str">
        <x:v>EBIT</x:v>
      </x:c>
      <x:c r="B19" s="1" t="str">
        <x:v>2022</x:v>
      </x:c>
      <x:c r="C19" s="7" t="n">
        <x:v>-47.791</x:v>
      </x:c>
      <x:c r="D19" s="1" t="str">
        <x:v>USD million</x:v>
      </x:c>
      <x:c r="E19" s="4" t="str">
        <x:v>original total group; includes divested Apps</x:v>
      </x:c>
      <x:c r="F19" s="4" t="str">
        <x:v>a9</x:v>
      </x:c>
      <x:c r="G19" s="4" t="str">
        <x:v>2022 Form 10-K, statements of operations</x:v>
      </x:c>
      <x:c r="H19" s="4" t="str">
        <x:v>verified-reported</x:v>
      </x:c>
    </x:row>
    <x:row r="20" ht="65" customHeight="1">
      <x:c r="A20" s="1" t="str">
        <x:v>Net income</x:v>
      </x:c>
      <x:c r="B20" s="1" t="str">
        <x:v>2021</x:v>
      </x:c>
      <x:c r="C20" s="7" t="n">
        <x:v>35.338</x:v>
      </x:c>
      <x:c r="D20" s="1" t="str">
        <x:v>USD million</x:v>
      </x:c>
      <x:c r="E20" s="4" t="str">
        <x:v>original total group; includes divested Apps</x:v>
      </x:c>
      <x:c r="F20" s="4" t="str">
        <x:v>a9</x:v>
      </x:c>
      <x:c r="G20" s="4" t="str">
        <x:v>2022 Form 10-K, statements of operations</x:v>
      </x:c>
      <x:c r="H20" s="4" t="str">
        <x:v>verified-reported</x:v>
      </x:c>
    </x:row>
    <x:row r="21" ht="65" customHeight="1">
      <x:c r="A21" s="1" t="str">
        <x:v>Net income</x:v>
      </x:c>
      <x:c r="B21" s="1" t="str">
        <x:v>2022</x:v>
      </x:c>
      <x:c r="C21" s="7" t="n">
        <x:v>-192.947</x:v>
      </x:c>
      <x:c r="D21" s="1" t="str">
        <x:v>USD million</x:v>
      </x:c>
      <x:c r="E21" s="4" t="str">
        <x:v>original total group; includes divested Apps</x:v>
      </x:c>
      <x:c r="F21" s="4" t="str">
        <x:v>a9</x:v>
      </x:c>
      <x:c r="G21" s="4" t="str">
        <x:v>2022 Form 10-K, statements of operations</x:v>
      </x:c>
      <x:c r="H21" s="4" t="str">
        <x:v>verified-reported</x:v>
      </x:c>
    </x:row>
    <x:row r="22" ht="65" customHeight="1">
      <x:c r="A22" s="1" t="str">
        <x:v>Operating cash flow</x:v>
      </x:c>
      <x:c r="B22" s="1" t="str">
        <x:v>2023</x:v>
      </x:c>
      <x:c r="C22" s="7" t="n">
        <x:v>1061.51</x:v>
      </x:c>
      <x:c r="D22" s="1" t="str">
        <x:v>USD million</x:v>
      </x:c>
      <x:c r="E22" s="4" t="str">
        <x:v>total group cash flow; includes Apps before disposal</x:v>
      </x:c>
      <x:c r="F22" s="4" t="str">
        <x:v>a1</x:v>
      </x:c>
      <x:c r="G22" s="4" t="str">
        <x:v>2025 Form 10-K pp38-39 FCF reconciliation</x:v>
      </x:c>
      <x:c r="H22" s="4" t="str">
        <x:v>verified-reported</x:v>
      </x:c>
    </x:row>
    <x:row r="23" ht="65" customHeight="1">
      <x:c r="A23" s="1" t="str">
        <x:v>Capital expenditure</x:v>
      </x:c>
      <x:c r="B23" s="1" t="str">
        <x:v>2023</x:v>
      </x:c>
      <x:c r="C23" s="7" t="n">
        <x:v>4.246</x:v>
      </x:c>
      <x:c r="D23" s="1" t="str">
        <x:v>USD million</x:v>
      </x:c>
      <x:c r="E23" s="4" t="str">
        <x:v>total group cash flow; includes Apps before disposal</x:v>
      </x:c>
      <x:c r="F23" s="4" t="str">
        <x:v>a1</x:v>
      </x:c>
      <x:c r="G23" s="4" t="str">
        <x:v>2025 Form 10-K pp38-39 FCF reconciliation</x:v>
      </x:c>
      <x:c r="H23" s="4" t="str">
        <x:v>verified-reported</x:v>
      </x:c>
    </x:row>
    <x:row r="24" ht="65" customHeight="1">
      <x:c r="A24" s="1" t="str">
        <x:v>Finance lease principal</x:v>
      </x:c>
      <x:c r="B24" s="1" t="str">
        <x:v>2023</x:v>
      </x:c>
      <x:c r="C24" s="7" t="n">
        <x:v>20.17</x:v>
      </x:c>
      <x:c r="D24" s="1" t="str">
        <x:v>USD million</x:v>
      </x:c>
      <x:c r="E24" s="4" t="str">
        <x:v>total group cash flow; includes Apps before disposal</x:v>
      </x:c>
      <x:c r="F24" s="4" t="str">
        <x:v>a1</x:v>
      </x:c>
      <x:c r="G24" s="4" t="str">
        <x:v>2025 Form 10-K pp38-39 FCF reconciliation</x:v>
      </x:c>
      <x:c r="H24" s="4" t="str">
        <x:v>verified-reported</x:v>
      </x:c>
    </x:row>
    <x:row r="25" ht="65" customHeight="1">
      <x:c r="A25" s="1" t="str">
        <x:v>Operating cash flow</x:v>
      </x:c>
      <x:c r="B25" s="1" t="str">
        <x:v>2024</x:v>
      </x:c>
      <x:c r="C25" s="7" t="n">
        <x:v>2099.011</x:v>
      </x:c>
      <x:c r="D25" s="1" t="str">
        <x:v>USD million</x:v>
      </x:c>
      <x:c r="E25" s="4" t="str">
        <x:v>total group cash flow; includes Apps before disposal</x:v>
      </x:c>
      <x:c r="F25" s="4" t="str">
        <x:v>a1</x:v>
      </x:c>
      <x:c r="G25" s="4" t="str">
        <x:v>2025 Form 10-K pp38-39 FCF reconciliation</x:v>
      </x:c>
      <x:c r="H25" s="4" t="str">
        <x:v>verified-reported</x:v>
      </x:c>
    </x:row>
    <x:row r="26" ht="65" customHeight="1">
      <x:c r="A26" s="1" t="str">
        <x:v>Capital expenditure</x:v>
      </x:c>
      <x:c r="B26" s="1" t="str">
        <x:v>2024</x:v>
      </x:c>
      <x:c r="C26" s="7" t="n">
        <x:v>4.776</x:v>
      </x:c>
      <x:c r="D26" s="1" t="str">
        <x:v>USD million</x:v>
      </x:c>
      <x:c r="E26" s="4" t="str">
        <x:v>total group cash flow; includes Apps before disposal</x:v>
      </x:c>
      <x:c r="F26" s="4" t="str">
        <x:v>a1</x:v>
      </x:c>
      <x:c r="G26" s="4" t="str">
        <x:v>2025 Form 10-K pp38-39 FCF reconciliation</x:v>
      </x:c>
      <x:c r="H26" s="4" t="str">
        <x:v>verified-reported</x:v>
      </x:c>
    </x:row>
    <x:row r="27" ht="65" customHeight="1">
      <x:c r="A27" s="1" t="str">
        <x:v>Finance lease principal</x:v>
      </x:c>
      <x:c r="B27" s="1" t="str">
        <x:v>2024</x:v>
      </x:c>
      <x:c r="C27" s="7" t="n">
        <x:v>20.875</x:v>
      </x:c>
      <x:c r="D27" s="1" t="str">
        <x:v>USD million</x:v>
      </x:c>
      <x:c r="E27" s="4" t="str">
        <x:v>total group cash flow; includes Apps before disposal</x:v>
      </x:c>
      <x:c r="F27" s="4" t="str">
        <x:v>a1</x:v>
      </x:c>
      <x:c r="G27" s="4" t="str">
        <x:v>2025 Form 10-K pp38-39 FCF reconciliation</x:v>
      </x:c>
      <x:c r="H27" s="4" t="str">
        <x:v>verified-reported</x:v>
      </x:c>
    </x:row>
    <x:row r="28" ht="65" customHeight="1">
      <x:c r="A28" s="1" t="str">
        <x:v>Operating cash flow</x:v>
      </x:c>
      <x:c r="B28" s="1" t="str">
        <x:v>2025</x:v>
      </x:c>
      <x:c r="C28" s="7" t="n">
        <x:v>3971.094</x:v>
      </x:c>
      <x:c r="D28" s="1" t="str">
        <x:v>USD million</x:v>
      </x:c>
      <x:c r="E28" s="4" t="str">
        <x:v>total group cash flow; includes Apps before disposal</x:v>
      </x:c>
      <x:c r="F28" s="4" t="str">
        <x:v>a1</x:v>
      </x:c>
      <x:c r="G28" s="4" t="str">
        <x:v>2025 Form 10-K pp38-39 FCF reconciliation</x:v>
      </x:c>
      <x:c r="H28" s="4" t="str">
        <x:v>verified-reported</x:v>
      </x:c>
    </x:row>
    <x:row r="29" ht="65" customHeight="1">
      <x:c r="A29" s="1" t="str">
        <x:v>Capital expenditure</x:v>
      </x:c>
      <x:c r="B29" s="1" t="str">
        <x:v>2025</x:v>
      </x:c>
      <x:c r="C29" s="7" t="n">
        <x:v>0.473</x:v>
      </x:c>
      <x:c r="D29" s="1" t="str">
        <x:v>USD million</x:v>
      </x:c>
      <x:c r="E29" s="4" t="str">
        <x:v>total group cash flow; includes Apps before disposal</x:v>
      </x:c>
      <x:c r="F29" s="4" t="str">
        <x:v>a1</x:v>
      </x:c>
      <x:c r="G29" s="4" t="str">
        <x:v>2025 Form 10-K pp38-39 FCF reconciliation</x:v>
      </x:c>
      <x:c r="H29" s="4" t="str">
        <x:v>verified-reported</x:v>
      </x:c>
    </x:row>
    <x:row r="30" ht="65" customHeight="1">
      <x:c r="A30" s="1" t="str">
        <x:v>Finance lease principal</x:v>
      </x:c>
      <x:c r="B30" s="1" t="str">
        <x:v>2025</x:v>
      </x:c>
      <x:c r="C30" s="7" t="n">
        <x:v>18.669</x:v>
      </x:c>
      <x:c r="D30" s="1" t="str">
        <x:v>USD million</x:v>
      </x:c>
      <x:c r="E30" s="4" t="str">
        <x:v>total group cash flow; includes Apps before disposal</x:v>
      </x:c>
      <x:c r="F30" s="4" t="str">
        <x:v>a1</x:v>
      </x:c>
      <x:c r="G30" s="4" t="str">
        <x:v>2025 Form 10-K pp38-39 FCF reconciliation</x:v>
      </x:c>
      <x:c r="H30" s="4" t="str">
        <x:v>verified-reported</x:v>
      </x:c>
    </x:row>
    <x:row r="31" ht="65" customHeight="1">
      <x:c r="A31" s="1" t="str">
        <x:v>Revenue</x:v>
      </x:c>
      <x:c r="B31" s="1" t="str">
        <x:v>2025-H1</x:v>
      </x:c>
      <x:c r="C31" s="7" t="n">
        <x:v>2417.728</x:v>
      </x:c>
      <x:c r="D31" s="1" t="str">
        <x:v>USD million</x:v>
      </x:c>
      <x:c r="E31" s="4" t="str">
        <x:v>continuing</x:v>
      </x:c>
      <x:c r="F31" s="4" t="str">
        <x:v>a2</x:v>
      </x:c>
      <x:c r="G31" s="4" t="str">
        <x:v>2026 Q2 Form 10-Q, statements of operations p4</x:v>
      </x:c>
      <x:c r="H31" s="4" t="str">
        <x:v>verified-reported</x:v>
      </x:c>
    </x:row>
    <x:row r="32" ht="65" customHeight="1">
      <x:c r="A32" s="1" t="str">
        <x:v>EBIT</x:v>
      </x:c>
      <x:c r="B32" s="1" t="str">
        <x:v>2025-H1</x:v>
      </x:c>
      <x:c r="C32" s="7" t="n">
        <x:v>1797.664</x:v>
      </x:c>
      <x:c r="D32" s="1" t="str">
        <x:v>USD million</x:v>
      </x:c>
      <x:c r="E32" s="4" t="str">
        <x:v>continuing</x:v>
      </x:c>
      <x:c r="F32" s="4" t="str">
        <x:v>a2</x:v>
      </x:c>
      <x:c r="G32" s="4" t="str">
        <x:v>2026 Q2 Form 10-Q, statements of operations p4</x:v>
      </x:c>
      <x:c r="H32" s="4" t="str">
        <x:v>verified-reported</x:v>
      </x:c>
    </x:row>
    <x:row r="33" ht="65" customHeight="1">
      <x:c r="A33" s="1" t="str">
        <x:v>Continuing net income</x:v>
      </x:c>
      <x:c r="B33" s="1" t="str">
        <x:v>2025-H1</x:v>
      </x:c>
      <x:c r="C33" s="7" t="n">
        <x:v>1495.394</x:v>
      </x:c>
      <x:c r="D33" s="1" t="str">
        <x:v>USD million</x:v>
      </x:c>
      <x:c r="E33" s="4" t="str">
        <x:v>continuing</x:v>
      </x:c>
      <x:c r="F33" s="4" t="str">
        <x:v>a2</x:v>
      </x:c>
      <x:c r="G33" s="4" t="str">
        <x:v>2026 Q2 Form 10-Q, statements of operations p4</x:v>
      </x:c>
      <x:c r="H33" s="4" t="str">
        <x:v>verified-reported</x:v>
      </x:c>
    </x:row>
    <x:row r="34" ht="65" customHeight="1">
      <x:c r="A34" s="1" t="str">
        <x:v>Revenue</x:v>
      </x:c>
      <x:c r="B34" s="1" t="str">
        <x:v>2026-H1</x:v>
      </x:c>
      <x:c r="C34" s="7" t="n">
        <x:v>3766.135</x:v>
      </x:c>
      <x:c r="D34" s="1" t="str">
        <x:v>USD million</x:v>
      </x:c>
      <x:c r="E34" s="4" t="str">
        <x:v>continuing</x:v>
      </x:c>
      <x:c r="F34" s="4" t="str">
        <x:v>a2</x:v>
      </x:c>
      <x:c r="G34" s="4" t="str">
        <x:v>2026 Q2 Form 10-Q, statements of operations p4</x:v>
      </x:c>
      <x:c r="H34" s="4" t="str">
        <x:v>verified-reported</x:v>
      </x:c>
    </x:row>
    <x:row r="35" ht="65" customHeight="1">
      <x:c r="A35" s="1" t="str">
        <x:v>EBIT</x:v>
      </x:c>
      <x:c r="B35" s="1" t="str">
        <x:v>2026-H1</x:v>
      </x:c>
      <x:c r="C35" s="7" t="n">
        <x:v>2934.21</x:v>
      </x:c>
      <x:c r="D35" s="1" t="str">
        <x:v>USD million</x:v>
      </x:c>
      <x:c r="E35" s="4" t="str">
        <x:v>continuing</x:v>
      </x:c>
      <x:c r="F35" s="4" t="str">
        <x:v>a2</x:v>
      </x:c>
      <x:c r="G35" s="4" t="str">
        <x:v>2026 Q2 Form 10-Q, statements of operations p4</x:v>
      </x:c>
      <x:c r="H35" s="4" t="str">
        <x:v>verified-reported</x:v>
      </x:c>
    </x:row>
    <x:row r="36" ht="65" customHeight="1">
      <x:c r="A36" s="1" t="str">
        <x:v>Continuing net income</x:v>
      </x:c>
      <x:c r="B36" s="1" t="str">
        <x:v>2026-H1</x:v>
      </x:c>
      <x:c r="C36" s="7" t="n">
        <x:v>2472.151</x:v>
      </x:c>
      <x:c r="D36" s="1" t="str">
        <x:v>USD million</x:v>
      </x:c>
      <x:c r="E36" s="4" t="str">
        <x:v>continuing</x:v>
      </x:c>
      <x:c r="F36" s="4" t="str">
        <x:v>a2</x:v>
      </x:c>
      <x:c r="G36" s="4" t="str">
        <x:v>2026 Q2 Form 10-Q, statements of operations p4</x:v>
      </x:c>
      <x:c r="H36" s="4" t="str">
        <x:v>verified-reported</x:v>
      </x:c>
    </x:row>
    <x:row r="37" ht="65" customHeight="1">
      <x:c r="A37" s="1" t="str">
        <x:v>Revenue</x:v>
      </x:c>
      <x:c r="B37" s="1" t="str">
        <x:v>2026-Q2</x:v>
      </x:c>
      <x:c r="C37" s="7" t="n">
        <x:v>1923.686</x:v>
      </x:c>
      <x:c r="D37" s="1" t="str">
        <x:v>USD million</x:v>
      </x:c>
      <x:c r="E37" s="4" t="str">
        <x:v>continuing</x:v>
      </x:c>
      <x:c r="F37" s="4" t="str">
        <x:v>a2</x:v>
      </x:c>
      <x:c r="G37" s="4" t="str">
        <x:v>2026 Q2 Form 10-Q, statements of operations p4</x:v>
      </x:c>
      <x:c r="H37" s="4" t="str">
        <x:v>verified-reported</x:v>
      </x:c>
    </x:row>
    <x:row r="38" ht="65" customHeight="1">
      <x:c r="A38" s="1" t="str">
        <x:v>EBIT</x:v>
      </x:c>
      <x:c r="B38" s="1" t="str">
        <x:v>2026-Q2</x:v>
      </x:c>
      <x:c r="C38" s="7" t="n">
        <x:v>1494.277</x:v>
      </x:c>
      <x:c r="D38" s="1" t="str">
        <x:v>USD million</x:v>
      </x:c>
      <x:c r="E38" s="4" t="str">
        <x:v>continuing</x:v>
      </x:c>
      <x:c r="F38" s="4" t="str">
        <x:v>a2</x:v>
      </x:c>
      <x:c r="G38" s="4" t="str">
        <x:v>2026 Q2 Form 10-Q, statements of operations p4</x:v>
      </x:c>
      <x:c r="H38" s="4" t="str">
        <x:v>verified-reported</x:v>
      </x:c>
    </x:row>
    <x:row r="39" ht="65" customHeight="1">
      <x:c r="A39" s="1" t="str">
        <x:v>Continuing net income</x:v>
      </x:c>
      <x:c r="B39" s="1" t="str">
        <x:v>2026-Q2</x:v>
      </x:c>
      <x:c r="C39" s="7" t="n">
        <x:v>1266.538</x:v>
      </x:c>
      <x:c r="D39" s="1" t="str">
        <x:v>USD million</x:v>
      </x:c>
      <x:c r="E39" s="4" t="str">
        <x:v>continuing</x:v>
      </x:c>
      <x:c r="F39" s="4" t="str">
        <x:v>a2</x:v>
      </x:c>
      <x:c r="G39" s="4" t="str">
        <x:v>2026 Q2 Form 10-Q, statements of operations p4</x:v>
      </x:c>
      <x:c r="H39" s="4" t="str">
        <x:v>verified-reported</x:v>
      </x:c>
    </x:row>
    <x:row r="40" ht="65" customHeight="1">
      <x:c r="A40" s="1" t="str">
        <x:v>Cash</x:v>
      </x:c>
      <x:c r="B40" s="1" t="str">
        <x:v>2026-06-30</x:v>
      </x:c>
      <x:c r="C40" s="7" t="n">
        <x:v>3053.306</x:v>
      </x:c>
      <x:c r="D40" s="1" t="str">
        <x:v>USD million</x:v>
      </x:c>
      <x:c r="E40" s="4" t="str">
        <x:v>group; dated snapshot</x:v>
      </x:c>
      <x:c r="F40" s="4" t="str">
        <x:v>a2</x:v>
      </x:c>
      <x:c r="G40" s="4" t="str">
        <x:v>2026 Q2 Form 10-Q, balance sheet p3 / debt note6 / EPS note9 / risk factors</x:v>
      </x:c>
      <x:c r="H40" s="4" t="str">
        <x:v>verified-reported</x:v>
      </x:c>
    </x:row>
    <x:row r="41" ht="65" customHeight="1">
      <x:c r="A41" s="1" t="str">
        <x:v>Debt carrying value</x:v>
      </x:c>
      <x:c r="B41" s="1" t="str">
        <x:v>2026-06-30</x:v>
      </x:c>
      <x:c r="C41" s="7" t="n">
        <x:v>3515.072</x:v>
      </x:c>
      <x:c r="D41" s="1" t="str">
        <x:v>USD million</x:v>
      </x:c>
      <x:c r="E41" s="4" t="str">
        <x:v>group; dated snapshot</x:v>
      </x:c>
      <x:c r="F41" s="4" t="str">
        <x:v>a2</x:v>
      </x:c>
      <x:c r="G41" s="4" t="str">
        <x:v>2026 Q2 Form 10-Q, balance sheet p3 / debt note6 / EPS note9 / risk factors</x:v>
      </x:c>
      <x:c r="H41" s="4" t="str">
        <x:v>verified-reported</x:v>
      </x:c>
    </x:row>
    <x:row r="42" ht="65" customHeight="1">
      <x:c r="A42" s="1" t="str">
        <x:v>Debt face value</x:v>
      </x:c>
      <x:c r="B42" s="1" t="str">
        <x:v>2026-06-30</x:v>
      </x:c>
      <x:c r="C42" s="7" t="n">
        <x:v>3600</x:v>
      </x:c>
      <x:c r="D42" s="1" t="str">
        <x:v>USD million</x:v>
      </x:c>
      <x:c r="E42" s="4" t="str">
        <x:v>group; dated snapshot</x:v>
      </x:c>
      <x:c r="F42" s="4" t="str">
        <x:v>a2</x:v>
      </x:c>
      <x:c r="G42" s="4" t="str">
        <x:v>2026 Q2 Form 10-Q, balance sheet p3 / debt note6 / EPS note9 / risk factors</x:v>
      </x:c>
      <x:c r="H42" s="4" t="str">
        <x:v>verified-reported</x:v>
      </x:c>
    </x:row>
    <x:row r="43" ht="65" customHeight="1">
      <x:c r="A43" s="1" t="str">
        <x:v>Receivables</x:v>
      </x:c>
      <x:c r="B43" s="1" t="str">
        <x:v>2026-06-30</x:v>
      </x:c>
      <x:c r="C43" s="7" t="n">
        <x:v>2171.017</x:v>
      </x:c>
      <x:c r="D43" s="1" t="str">
        <x:v>USD million</x:v>
      </x:c>
      <x:c r="E43" s="4" t="str">
        <x:v>group; dated snapshot</x:v>
      </x:c>
      <x:c r="F43" s="4" t="str">
        <x:v>a2</x:v>
      </x:c>
      <x:c r="G43" s="4" t="str">
        <x:v>2026 Q2 Form 10-Q, balance sheet p3 / debt note6 / EPS note9 / risk factors</x:v>
      </x:c>
      <x:c r="H43" s="4" t="str">
        <x:v>verified-reported</x:v>
      </x:c>
    </x:row>
    <x:row r="44" ht="65" customHeight="1">
      <x:c r="A44" s="1" t="str">
        <x:v>Shares outstanding</x:v>
      </x:c>
      <x:c r="B44" s="1" t="str">
        <x:v>2026-06-30</x:v>
      </x:c>
      <x:c r="C44" s="7" t="n">
        <x:v>335.291</x:v>
      </x:c>
      <x:c r="D44" s="1" t="str">
        <x:v>shares million</x:v>
      </x:c>
      <x:c r="E44" s="4" t="str">
        <x:v>group; dated snapshot</x:v>
      </x:c>
      <x:c r="F44" s="4" t="str">
        <x:v>a2</x:v>
      </x:c>
      <x:c r="G44" s="4" t="str">
        <x:v>2026 Q2 Form 10-Q, balance sheet p3 / debt note6 / EPS note9 / risk factors</x:v>
      </x:c>
      <x:c r="H44" s="4" t="str">
        <x:v>verified-reported</x:v>
      </x:c>
    </x:row>
    <x:row r="45" ht="65" customHeight="1">
      <x:c r="A45" s="1" t="str">
        <x:v>Q2 weighted dilutive awards</x:v>
      </x:c>
      <x:c r="B45" s="1" t="str">
        <x:v>2026-06-30</x:v>
      </x:c>
      <x:c r="C45" s="7" t="n">
        <x:v>1.231</x:v>
      </x:c>
      <x:c r="D45" s="1" t="str">
        <x:v>shares million</x:v>
      </x:c>
      <x:c r="E45" s="4" t="str">
        <x:v>group; dated snapshot</x:v>
      </x:c>
      <x:c r="F45" s="4" t="str">
        <x:v>a2</x:v>
      </x:c>
      <x:c r="G45" s="4" t="str">
        <x:v>2026 Q2 Form 10-Q, balance sheet p3 / debt note6 / EPS note9 / risk factors</x:v>
      </x:c>
      <x:c r="H45" s="4" t="str">
        <x:v>verified-reported</x:v>
      </x:c>
    </x:row>
    <x:row r="46" ht="65" customHeight="1">
      <x:c r="A46" s="1" t="str">
        <x:v>Anti-dilutive awards excluded</x:v>
      </x:c>
      <x:c r="B46" s="1" t="str">
        <x:v>2026-06-30</x:v>
      </x:c>
      <x:c r="C46" s="7" t="n">
        <x:v>0.107</x:v>
      </x:c>
      <x:c r="D46" s="1" t="str">
        <x:v>shares million</x:v>
      </x:c>
      <x:c r="E46" s="4" t="str">
        <x:v>group; dated snapshot</x:v>
      </x:c>
      <x:c r="F46" s="4" t="str">
        <x:v>a2</x:v>
      </x:c>
      <x:c r="G46" s="4" t="str">
        <x:v>2026 Q2 Form 10-Q, balance sheet p3 / debt note6 / EPS note9 / risk factors</x:v>
      </x:c>
      <x:c r="H46" s="4" t="str">
        <x:v>verified-reported</x:v>
      </x:c>
    </x:row>
    <x:row r="47" ht="65" customHeight="1">
      <x:c r="A47" s="1" t="str">
        <x:v>Dated market close</x:v>
      </x:c>
      <x:c r="B47" s="1" t="str">
        <x:v>2026-10-05</x:v>
      </x:c>
      <x:c r="C47" s="7" t="n">
        <x:v>281.97</x:v>
      </x:c>
      <x:c r="D47" s="1" t="str">
        <x:v>USD/share</x:v>
      </x:c>
      <x:c r="E47" s="4" t="str">
        <x:v>selected security</x:v>
      </x:c>
      <x:c r="F47" s="4" t="str">
        <x:v>a6</x:v>
      </x:c>
      <x:c r="G47" s="4" t="str">
        <x:v>historical table row 2026-10-05; Nasdaq APP Class A, close 16:00 EDT</x:v>
      </x:c>
      <x:c r="H47" s="4" t="str">
        <x:v>verified-reported</x:v>
      </x:c>
    </x:row>
    <x:row r="48" ht="65" customHeight="1">
      <x:c r="A48" s="1" t="str">
        <x:v>Noncash SBC</x:v>
      </x:c>
      <x:c r="B48" s="1" t="str">
        <x:v>2026-H1</x:v>
      </x:c>
      <x:c r="C48" s="7" t="n">
        <x:v>168.981</x:v>
      </x:c>
      <x:c r="D48" s="1" t="str">
        <x:v>USD million</x:v>
      </x:c>
      <x:c r="E48" s="4" t="str">
        <x:v>continuing; no Apps in H1 2026</x:v>
      </x:c>
      <x:c r="F48" s="4" t="str">
        <x:v>a2</x:v>
      </x:c>
      <x:c r="G48" s="4" t="str">
        <x:v>cash flow statement p8</x:v>
      </x:c>
      <x:c r="H48" s="4" t="str">
        <x:v>verified-reported</x:v>
      </x:c>
    </x:row>
    <x:row r="49" ht="65" customHeight="1">
      <x:c r="A49" s="1"/>
      <x:c r="B49" s="1"/>
      <x:c r="C49" s="7"/>
      <x:c r="D49" s="1"/>
      <x:c r="E49" s="4"/>
      <x:c r="F49" s="4"/>
      <x:c r="G49" s="4"/>
      <x:c r="H49" s="4"/>
    </x:row>
    <x:row r="50" ht="65" customHeight="1">
      <x:c r="A50" s="1"/>
      <x:c r="B50" s="1"/>
      <x:c r="C50" s="7"/>
      <x:c r="D50" s="1"/>
      <x:c r="E50" s="4"/>
      <x:c r="F50" s="4"/>
      <x:c r="G50" s="4"/>
      <x:c r="H50" s="4"/>
    </x:row>
    <x:row r="51" ht="65" customHeight="1">
      <x:c r="A51" s="1"/>
      <x:c r="B51" s="1"/>
      <x:c r="C51" s="7"/>
      <x:c r="D51" s="1"/>
      <x:c r="E51" s="4"/>
      <x:c r="F51" s="4"/>
      <x:c r="G51" s="4"/>
      <x:c r="H51" s="4"/>
    </x:row>
    <x:row r="52" ht="65" customHeight="1">
      <x:c r="A52" s="1"/>
      <x:c r="B52" s="1"/>
      <x:c r="C52" s="7"/>
      <x:c r="D52" s="1"/>
      <x:c r="E52" s="4"/>
      <x:c r="F52" s="4"/>
      <x:c r="G52" s="4"/>
      <x:c r="H52" s="4"/>
    </x:row>
    <x:row r="53" ht="65" customHeight="1">
      <x:c r="A53" s="1"/>
      <x:c r="B53" s="1"/>
      <x:c r="C53" s="7"/>
      <x:c r="D53" s="1"/>
      <x:c r="E53" s="4"/>
      <x:c r="F53" s="4"/>
      <x:c r="G53" s="4"/>
      <x:c r="H53" s="4"/>
    </x:row>
    <x:row r="54" ht="65" customHeight="1">
      <x:c r="A54" s="1"/>
      <x:c r="B54" s="1"/>
      <x:c r="C54" s="7"/>
      <x:c r="D54" s="1"/>
      <x:c r="E54" s="4"/>
      <x:c r="F54" s="4"/>
      <x:c r="G54" s="4"/>
      <x:c r="H54" s="4"/>
    </x:row>
    <x:row r="55" ht="65" customHeight="1">
      <x:c r="A55" s="1"/>
      <x:c r="B55" s="1"/>
      <x:c r="C55" s="7"/>
      <x:c r="D55" s="1"/>
      <x:c r="E55" s="4"/>
      <x:c r="F55" s="4"/>
      <x:c r="G55" s="4"/>
      <x:c r="H55" s="4"/>
    </x:row>
    <x:row r="56" ht="65" customHeight="1">
      <x:c r="A56" s="1"/>
      <x:c r="B56" s="1"/>
      <x:c r="C56" s="7"/>
      <x:c r="D56" s="1"/>
      <x:c r="E56" s="4"/>
      <x:c r="F56" s="4"/>
      <x:c r="G56" s="4"/>
      <x:c r="H56" s="4"/>
    </x:row>
    <x:row r="57" ht="65" customHeight="1">
      <x:c r="A57" s="1"/>
      <x:c r="B57" s="1"/>
      <x:c r="C57" s="7"/>
      <x:c r="D57" s="1"/>
      <x:c r="E57" s="4"/>
      <x:c r="F57" s="4"/>
      <x:c r="G57" s="4"/>
      <x:c r="H57" s="4"/>
    </x:row>
    <x:row r="58" ht="65" customHeight="1">
      <x:c r="A58" s="1"/>
      <x:c r="B58" s="1"/>
      <x:c r="C58" s="7"/>
      <x:c r="D58" s="1"/>
      <x:c r="E58" s="4"/>
      <x:c r="F58" s="4"/>
      <x:c r="G58" s="4"/>
      <x:c r="H58" s="4"/>
    </x:row>
    <x:row r="59" ht="65" customHeight="1">
      <x:c r="A59" s="1"/>
      <x:c r="B59" s="1"/>
      <x:c r="C59" s="7"/>
      <x:c r="D59" s="1"/>
      <x:c r="E59" s="4"/>
      <x:c r="F59" s="4"/>
      <x:c r="G59" s="4"/>
      <x:c r="H59" s="4"/>
    </x:row>
    <x:row r="60" ht="65" customHeight="1">
      <x:c r="A60" s="1"/>
      <x:c r="B60" s="1"/>
      <x:c r="C60" s="7"/>
      <x:c r="D60" s="1"/>
      <x:c r="E60" s="4"/>
      <x:c r="F60" s="4"/>
      <x:c r="G60" s="4"/>
      <x:c r="H60" s="4"/>
    </x:row>
    <x:row r="61" ht="65" customHeight="1">
      <x:c r="A61" s="1"/>
      <x:c r="B61" s="1"/>
      <x:c r="C61" s="7"/>
      <x:c r="D61" s="1"/>
      <x:c r="E61" s="4"/>
      <x:c r="F61" s="4"/>
      <x:c r="G61" s="4"/>
      <x:c r="H61" s="4"/>
    </x:row>
    <x:row r="62" ht="65" customHeight="1">
      <x:c r="A62" s="1"/>
      <x:c r="B62" s="1"/>
      <x:c r="C62" s="7"/>
      <x:c r="D62" s="1"/>
      <x:c r="E62" s="4"/>
      <x:c r="F62" s="4"/>
      <x:c r="G62" s="4"/>
      <x:c r="H62" s="4"/>
    </x:row>
    <x:row r="63" ht="65" customHeight="1">
      <x:c r="A63" s="1"/>
      <x:c r="B63" s="1"/>
      <x:c r="C63" s="7"/>
      <x:c r="D63" s="1"/>
      <x:c r="E63" s="4"/>
      <x:c r="F63" s="4"/>
      <x:c r="G63" s="4"/>
      <x:c r="H63" s="4"/>
    </x:row>
    <x:row r="64" ht="65" customHeight="1">
      <x:c r="A64" s="1"/>
      <x:c r="B64" s="1"/>
      <x:c r="C64" s="7"/>
      <x:c r="D64" s="1"/>
      <x:c r="E64" s="4"/>
      <x:c r="F64" s="4"/>
      <x:c r="G64" s="4"/>
      <x:c r="H64" s="4"/>
    </x:row>
    <x:row r="65" ht="65" customHeight="1">
      <x:c r="A65" s="1"/>
      <x:c r="B65" s="1"/>
      <x:c r="C65" s="7"/>
      <x:c r="D65" s="1"/>
      <x:c r="E65" s="4"/>
      <x:c r="F65" s="4"/>
      <x:c r="G65" s="4"/>
      <x:c r="H65" s="4"/>
    </x:row>
    <x:row r="66" ht="65" customHeight="1">
      <x:c r="A66" s="1"/>
      <x:c r="B66" s="1"/>
      <x:c r="C66" s="7"/>
      <x:c r="D66" s="1"/>
      <x:c r="E66" s="4"/>
      <x:c r="F66" s="4"/>
      <x:c r="G66" s="4"/>
      <x:c r="H66" s="4"/>
    </x:row>
    <x:row r="67" ht="65" customHeight="1">
      <x:c r="A67" s="1"/>
      <x:c r="B67" s="1"/>
      <x:c r="C67" s="7"/>
      <x:c r="D67" s="1"/>
      <x:c r="E67" s="4"/>
      <x:c r="F67" s="4"/>
      <x:c r="G67" s="4"/>
      <x:c r="H67" s="4"/>
    </x:row>
    <x:row r="68" ht="65" customHeight="1">
      <x:c r="A68" s="1"/>
      <x:c r="B68" s="1"/>
      <x:c r="C68" s="7"/>
      <x:c r="D68" s="1"/>
      <x:c r="E68" s="4"/>
      <x:c r="F68" s="4"/>
      <x:c r="G68" s="4"/>
      <x:c r="H68" s="4"/>
    </x:row>
    <x:row r="69" ht="65" customHeight="1">
      <x:c r="A69" s="1"/>
      <x:c r="B69" s="1"/>
      <x:c r="C69" s="7"/>
      <x:c r="D69" s="1"/>
      <x:c r="E69" s="4"/>
      <x:c r="F69" s="4"/>
      <x:c r="G69" s="4"/>
      <x:c r="H69" s="4"/>
    </x:row>
    <x:row r="70" ht="65" customHeight="1">
      <x:c r="A70" s="1"/>
      <x:c r="B70" s="1"/>
      <x:c r="C70" s="7"/>
      <x:c r="D70" s="1"/>
      <x:c r="E70" s="4"/>
      <x:c r="F70" s="4"/>
      <x:c r="G70" s="4"/>
      <x:c r="H70" s="4"/>
    </x:row>
    <x:row r="71" ht="65" customHeight="1">
      <x:c r="A71" s="1"/>
      <x:c r="B71" s="1"/>
      <x:c r="C71" s="7"/>
      <x:c r="D71" s="1"/>
      <x:c r="E71" s="4"/>
      <x:c r="F71" s="4"/>
      <x:c r="G71" s="4"/>
      <x:c r="H71" s="4"/>
    </x:row>
    <x:row r="72" ht="65" customHeight="1">
      <x:c r="A72" s="1"/>
      <x:c r="B72" s="1"/>
      <x:c r="C72" s="7"/>
      <x:c r="D72" s="1"/>
      <x:c r="E72" s="4"/>
      <x:c r="F72" s="4"/>
      <x:c r="G72" s="4"/>
      <x:c r="H72" s="4"/>
    </x:row>
    <x:row r="73" ht="65" customHeight="1">
      <x:c r="A73" s="1"/>
      <x:c r="B73" s="1"/>
      <x:c r="C73" s="7"/>
      <x:c r="D73" s="1"/>
      <x:c r="E73" s="4"/>
      <x:c r="F73" s="4"/>
      <x:c r="G73" s="4"/>
      <x:c r="H73" s="4"/>
    </x:row>
    <x:row r="74" ht="65" customHeight="1">
      <x:c r="A74" s="1"/>
      <x:c r="B74" s="1"/>
      <x:c r="C74" s="7"/>
      <x:c r="D74" s="1"/>
      <x:c r="E74" s="4"/>
      <x:c r="F74" s="4"/>
      <x:c r="G74" s="4"/>
      <x:c r="H74" s="4"/>
    </x:row>
    <x:row r="75" ht="65" customHeight="1">
      <x:c r="A75" s="1"/>
      <x:c r="B75" s="1"/>
      <x:c r="C75" s="7"/>
      <x:c r="D75" s="1"/>
      <x:c r="E75" s="4"/>
      <x:c r="F75" s="4"/>
      <x:c r="G75" s="4"/>
      <x:c r="H75" s="4"/>
    </x:row>
    <x:row r="76" ht="65" customHeight="1">
      <x:c r="A76" s="1"/>
      <x:c r="B76" s="1"/>
      <x:c r="C76" s="7"/>
      <x:c r="D76" s="1"/>
      <x:c r="E76" s="4"/>
      <x:c r="F76" s="4"/>
      <x:c r="G76" s="4"/>
      <x:c r="H76" s="4"/>
    </x:row>
    <x:row r="77" ht="65" customHeight="1">
      <x:c r="A77" s="1"/>
      <x:c r="B77" s="1"/>
      <x:c r="C77" s="7"/>
      <x:c r="D77" s="1"/>
      <x:c r="E77" s="4"/>
      <x:c r="F77" s="4"/>
      <x:c r="G77" s="4"/>
      <x:c r="H77" s="4"/>
    </x:row>
    <x:row r="78" ht="65" customHeight="1">
      <x:c r="A78" s="1"/>
      <x:c r="B78" s="1"/>
      <x:c r="C78" s="7"/>
      <x:c r="D78" s="1"/>
      <x:c r="E78" s="4"/>
      <x:c r="F78" s="4"/>
      <x:c r="G78" s="4"/>
      <x:c r="H78" s="4"/>
    </x:row>
    <x:row r="79" ht="65" customHeight="1">
      <x:c r="A79" s="1"/>
      <x:c r="B79" s="1"/>
      <x:c r="C79" s="7"/>
      <x:c r="D79" s="1"/>
      <x:c r="E79" s="4"/>
      <x:c r="F79" s="4"/>
      <x:c r="G79" s="4"/>
      <x:c r="H79" s="4"/>
    </x:row>
    <x:row r="80" ht="65" customHeight="1">
      <x:c r="A80" s="1"/>
      <x:c r="B80" s="1"/>
      <x:c r="C80" s="7"/>
      <x:c r="D80" s="1"/>
      <x:c r="E80" s="4"/>
      <x:c r="F80" s="4"/>
      <x:c r="G80" s="4"/>
      <x:c r="H80" s="4"/>
    </x:row>
    <x:row r="81" ht="65" customHeight="1">
      <x:c r="A81" s="1"/>
      <x:c r="B81" s="1"/>
      <x:c r="C81" s="7"/>
      <x:c r="D81" s="1"/>
      <x:c r="E81" s="4"/>
      <x:c r="F81" s="4"/>
      <x:c r="G81" s="4"/>
      <x:c r="H81" s="4"/>
    </x:row>
    <x:row r="82" ht="65" customHeight="1">
      <x:c r="A82" s="1"/>
      <x:c r="B82" s="1"/>
      <x:c r="C82" s="7"/>
      <x:c r="D82" s="1"/>
      <x:c r="E82" s="4"/>
      <x:c r="F82" s="4"/>
      <x:c r="G82" s="4"/>
      <x:c r="H82" s="4"/>
    </x:row>
    <x:row r="83" ht="65" customHeight="1">
      <x:c r="A83" s="1"/>
      <x:c r="B83" s="1"/>
      <x:c r="C83" s="7"/>
      <x:c r="D83" s="1"/>
      <x:c r="E83" s="4"/>
      <x:c r="F83" s="4"/>
      <x:c r="G83" s="4"/>
      <x:c r="H83" s="4"/>
    </x:row>
    <x:row r="84" ht="65" customHeight="1">
      <x:c r="A84" s="1"/>
      <x:c r="B84" s="1"/>
      <x:c r="C84" s="7"/>
      <x:c r="D84" s="1"/>
      <x:c r="E84" s="4"/>
      <x:c r="F84" s="4"/>
      <x:c r="G84" s="4"/>
      <x:c r="H84" s="4"/>
    </x:row>
    <x:row r="85" ht="65" customHeight="1">
      <x:c r="A85" s="1"/>
      <x:c r="B85" s="1"/>
      <x:c r="C85" s="7"/>
      <x:c r="D85" s="1"/>
      <x:c r="E85" s="4"/>
      <x:c r="F85" s="4"/>
      <x:c r="G85" s="4"/>
      <x:c r="H85" s="4"/>
    </x:row>
    <x:row r="86" ht="65" customHeight="1">
      <x:c r="A86" s="1"/>
      <x:c r="B86" s="1"/>
      <x:c r="C86" s="7"/>
      <x:c r="D86" s="1"/>
      <x:c r="E86" s="4"/>
      <x:c r="F86" s="4"/>
      <x:c r="G86" s="4"/>
      <x:c r="H86" s="4"/>
    </x:row>
    <x:row r="87" ht="65" customHeight="1">
      <x:c r="A87" s="1"/>
      <x:c r="B87" s="1"/>
      <x:c r="C87" s="7"/>
      <x:c r="D87" s="1"/>
      <x:c r="E87" s="4"/>
      <x:c r="F87" s="4"/>
      <x:c r="G87" s="4"/>
      <x:c r="H87" s="4"/>
    </x:row>
    <x:row r="88" ht="65" customHeight="1">
      <x:c r="A88" s="1"/>
      <x:c r="B88" s="1"/>
      <x:c r="C88" s="7"/>
      <x:c r="D88" s="1"/>
      <x:c r="E88" s="4"/>
      <x:c r="F88" s="4"/>
      <x:c r="G88" s="4"/>
      <x:c r="H88" s="4"/>
    </x:row>
    <x:row r="89" ht="65" customHeight="1">
      <x:c r="A89" s="1"/>
      <x:c r="B89" s="1"/>
      <x:c r="C89" s="7"/>
      <x:c r="D89" s="1"/>
      <x:c r="E89" s="4"/>
      <x:c r="F89" s="4"/>
      <x:c r="G89" s="4"/>
      <x:c r="H89" s="4"/>
    </x:row>
    <x:row r="90" ht="65" customHeight="1">
      <x:c r="A90" s="1"/>
      <x:c r="B90" s="1"/>
      <x:c r="C90" s="7"/>
      <x:c r="D90" s="1"/>
      <x:c r="E90" s="4"/>
      <x:c r="F90" s="4"/>
      <x:c r="G90" s="4"/>
      <x:c r="H90" s="4"/>
    </x:row>
    <x:row r="91" ht="65" customHeight="1">
      <x:c r="A91" s="1"/>
      <x:c r="B91" s="1"/>
      <x:c r="C91" s="7"/>
      <x:c r="D91" s="1"/>
      <x:c r="E91" s="4"/>
      <x:c r="F91" s="4"/>
      <x:c r="G91" s="4"/>
      <x:c r="H91" s="4"/>
    </x:row>
    <x:row r="92" ht="65" customHeight="1">
      <x:c r="A92" s="1"/>
      <x:c r="B92" s="1"/>
      <x:c r="C92" s="7"/>
      <x:c r="D92" s="1"/>
      <x:c r="E92" s="4"/>
      <x:c r="F92" s="4"/>
      <x:c r="G92" s="4"/>
      <x:c r="H92" s="4"/>
    </x:row>
    <x:row r="93" ht="65" customHeight="1">
      <x:c r="A93" s="1"/>
      <x:c r="B93" s="1"/>
      <x:c r="C93" s="7"/>
      <x:c r="D93" s="1"/>
      <x:c r="E93" s="4"/>
      <x:c r="F93" s="4"/>
      <x:c r="G93" s="4"/>
      <x:c r="H93" s="4"/>
    </x:row>
    <x:row r="94" ht="65" customHeight="1">
      <x:c r="A94" s="1"/>
      <x:c r="B94" s="1"/>
      <x:c r="C94" s="7"/>
      <x:c r="D94" s="1"/>
      <x:c r="E94" s="4"/>
      <x:c r="F94" s="4"/>
      <x:c r="G94" s="4"/>
      <x:c r="H94" s="4"/>
    </x:row>
    <x:row r="95" ht="65" customHeight="1">
      <x:c r="A95" s="1"/>
      <x:c r="B95" s="1"/>
      <x:c r="C95" s="7"/>
      <x:c r="D95" s="1"/>
      <x:c r="E95" s="4"/>
      <x:c r="F95" s="4"/>
      <x:c r="G95" s="4"/>
      <x:c r="H95" s="4"/>
    </x:row>
    <x:row r="96" ht="65" customHeight="1">
      <x:c r="A96" s="1"/>
      <x:c r="B96" s="1"/>
      <x:c r="C96" s="7"/>
      <x:c r="D96" s="1"/>
      <x:c r="E96" s="4"/>
      <x:c r="F96" s="4"/>
      <x:c r="G96" s="4"/>
      <x:c r="H96" s="4"/>
    </x:row>
    <x:row r="97" ht="65" customHeight="1">
      <x:c r="A97" s="1"/>
      <x:c r="B97" s="1"/>
      <x:c r="C97" s="7"/>
      <x:c r="D97" s="1"/>
      <x:c r="E97" s="4"/>
      <x:c r="F97" s="4"/>
      <x:c r="G97" s="4"/>
      <x:c r="H97" s="4"/>
    </x:row>
    <x:row r="98" ht="65" customHeight="1">
      <x:c r="A98" s="1"/>
      <x:c r="B98" s="1"/>
      <x:c r="C98" s="7"/>
      <x:c r="D98" s="1"/>
      <x:c r="E98" s="4"/>
      <x:c r="F98" s="4"/>
      <x:c r="G98" s="4"/>
      <x:c r="H98" s="4"/>
    </x:row>
    <x:row r="99" ht="65" customHeight="1">
      <x:c r="A99" s="1"/>
      <x:c r="B99" s="1"/>
      <x:c r="C99" s="7"/>
      <x:c r="D99" s="1"/>
      <x:c r="E99" s="4"/>
      <x:c r="F99" s="4"/>
      <x:c r="G99" s="4"/>
      <x:c r="H99" s="4"/>
    </x:row>
    <x:row r="100" ht="65" customHeight="1">
      <x:c r="A100" s="1"/>
      <x:c r="B100" s="1"/>
      <x:c r="C100" s="7"/>
      <x:c r="D100" s="1"/>
      <x:c r="E100" s="4"/>
      <x:c r="F100" s="4"/>
      <x:c r="G100" s="4"/>
      <x:c r="H100" s="4"/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6" hidden="0" customWidth="1"/>
    <x:col min="8" max="8" width="26" hidden="0" customWidth="1"/>
  </x:cols>
  <x:sheetData>
    <x:row r="1" ht="34" customHeight="1">
      <x:c r="A1" s="3" t="str">
        <x:v>Case inputs | one active forecast</x:v>
      </x:c>
      <x:c r="B1" s="3"/>
      <x:c r="C1" s="3"/>
      <x:c r="D1" s="3"/>
      <x:c r="E1" s="3"/>
      <x:c r="F1" s="3"/>
      <x:c r="G1" s="1"/>
      <x:c r="H1" s="1"/>
    </x:row>
    <x:row r="2" ht="22" customHeight="1">
      <x:c r="A2" s="1"/>
      <x:c r="B2" s="1"/>
      <x:c r="C2" s="1"/>
      <x:c r="D2" s="1"/>
      <x:c r="E2" s="1"/>
      <x:c r="F2" s="1"/>
      <x:c r="G2" s="1"/>
      <x:c r="H2" s="1"/>
    </x:row>
    <x:row r="3" ht="22" customHeight="1">
      <x:c r="A3" s="1"/>
      <x:c r="B3" s="1"/>
      <x:c r="C3" s="1"/>
      <x:c r="D3" s="1"/>
      <x:c r="E3" s="1"/>
      <x:c r="F3" s="1"/>
      <x:c r="G3" s="1"/>
      <x:c r="H3" s="1"/>
    </x:row>
    <x:row r="4" ht="22" customHeight="1">
      <x:c r="A4" s="1" t="str">
        <x:v>Active selector (1-4)</x:v>
      </x:c>
      <x:c r="B4" s="9" t="n">
        <x:v>4</x:v>
      </x:c>
      <x:c r="C4" s="1"/>
      <x:c r="D4" s="1"/>
      <x:c r="E4" s="1"/>
      <x:c r="F4" s="1"/>
      <x:c r="G4" s="1"/>
      <x:c r="H4" s="1"/>
    </x:row>
    <x:row r="5" ht="22" customHeight="1">
      <x:c r="A5" s="1" t="str">
        <x:v>Dated market price</x:v>
      </x:c>
      <x:c r="B5" s="9" t="n">
        <x:v>281.97</x:v>
      </x:c>
      <x:c r="C5" s="1"/>
      <x:c r="D5" s="1"/>
      <x:c r="E5" s="1"/>
      <x:c r="F5" s="1"/>
      <x:c r="G5" s="1"/>
      <x:c r="H5" s="1"/>
    </x:row>
    <x:row r="6" ht="22" customHeight="1">
      <x:c r="A6" s="1" t="str">
        <x:v>TTM continuing revenue</x:v>
      </x:c>
      <x:c r="B6" s="1" t="n">
        <x:f>1*'Actuals'!C6+1*'Actuals'!C34+-1*'Actuals'!C31</x:f>
        <x:v>6829.123999999999</x:v>
      </x:c>
      <x:c r="C6" s="1"/>
      <x:c r="D6" s="1"/>
      <x:c r="E6" s="1"/>
      <x:c r="F6" s="1"/>
      <x:c r="G6" s="1"/>
      <x:c r="H6" s="1"/>
    </x:row>
    <x:row r="7" ht="22" customHeight="1">
      <x:c r="A7" s="1" t="str">
        <x:v>Opening ownership proxy</x:v>
      </x:c>
      <x:c r="B7" s="1" t="n">
        <x:f>1*'Actuals'!C44+1*'Actuals'!C45+1*'Actuals'!C46</x:f>
        <x:v>336.629</x:v>
      </x:c>
      <x:c r="C7" s="1"/>
      <x:c r="D7" s="1"/>
      <x:c r="E7" s="1"/>
      <x:c r="F7" s="1"/>
      <x:c r="G7" s="1"/>
      <x:c r="H7" s="1"/>
    </x:row>
    <x:row r="8" ht="22" customHeight="1">
      <x:c r="A8" s="1" t="str">
        <x:v>Opening excess cash</x:v>
      </x:c>
      <x:c r="B8" s="1" t="n">
        <x:f>'Actuals'!C40-B9</x:f>
        <x:v>2053.306</x:v>
      </x:c>
      <x:c r="C8" s="1"/>
      <x:c r="D8" s="1"/>
      <x:c r="E8" s="1"/>
      <x:c r="F8" s="1"/>
      <x:c r="G8" s="1"/>
      <x:c r="H8" s="1"/>
    </x:row>
    <x:row r="9" ht="22" customHeight="1">
      <x:c r="A9" s="1" t="str">
        <x:v>Operating liquidity reserve</x:v>
      </x:c>
      <x:c r="B9" s="9" t="n">
        <x:v>1000</x:v>
      </x:c>
      <x:c r="C9" s="1"/>
      <x:c r="D9" s="1"/>
      <x:c r="E9" s="1"/>
      <x:c r="F9" s="1"/>
      <x:c r="G9" s="1"/>
      <x:c r="H9" s="1"/>
    </x:row>
    <x:row r="10" ht="22" customHeight="1">
      <x:c r="A10" s="1" t="str">
        <x:v>Other equity assets</x:v>
      </x:c>
      <x:c r="B10" s="9" t="n">
        <x:v>0</x:v>
      </x:c>
      <x:c r="C10" s="1"/>
      <x:c r="D10" s="1"/>
      <x:c r="E10" s="1"/>
      <x:c r="F10" s="1"/>
      <x:c r="G10" s="1"/>
      <x:c r="H10" s="1"/>
    </x:row>
    <x:row r="11" ht="22" customHeight="1">
      <x:c r="A11" s="1" t="str">
        <x:v>Research valuation date</x:v>
      </x:c>
      <x:c r="B11" s="10" t="n">
        <x:v>46301</x:v>
      </x:c>
      <x:c r="C11" s="1"/>
      <x:c r="D11" s="1"/>
      <x:c r="E11" s="1"/>
      <x:c r="F11" s="1"/>
      <x:c r="G11" s="1"/>
      <x:c r="H11" s="1"/>
    </x:row>
    <x:row r="12" ht="22" customHeight="1">
      <x:c r="A12" s="1" t="str">
        <x:v>Active equity discount rate</x:v>
      </x:c>
      <x:c r="B12" s="11" t="n">
        <x:f>F15</x:f>
        <x:v>0.11</x:v>
      </x:c>
      <x:c r="C12" s="11"/>
      <x:c r="D12" s="11"/>
      <x:c r="E12" s="11"/>
      <x:c r="F12" s="11"/>
      <x:c r="G12" s="1"/>
      <x:c r="H12" s="1"/>
    </x:row>
    <x:row r="13" ht="22" customHeight="1">
      <x:c r="A13" s="1" t="str">
        <x:v>Active terminal growth</x:v>
      </x:c>
      <x:c r="B13" s="11" t="n">
        <x:f>F16</x:f>
        <x:v>0.03</x:v>
      </x:c>
      <x:c r="C13" s="11"/>
      <x:c r="D13" s="11"/>
      <x:c r="E13" s="11"/>
      <x:c r="F13" s="11"/>
      <x:c r="G13" s="1"/>
      <x:c r="H13" s="1"/>
    </x:row>
    <x:row r="14" ht="22" customHeight="1">
      <x:c r="A14" s="6" t="str">
        <x:v>Driver</x:v>
      </x:c>
      <x:c r="B14" s="13" t="str">
        <x:v>Bear</x:v>
      </x:c>
      <x:c r="C14" s="13" t="str">
        <x:v>Base</x:v>
      </x:c>
      <x:c r="D14" s="13" t="str">
        <x:v>Bull</x:v>
      </x:c>
      <x:c r="E14" s="13" t="str">
        <x:v>What-if</x:v>
      </x:c>
      <x:c r="F14" s="13" t="str">
        <x:v>Active</x:v>
      </x:c>
      <x:c r="G14" s="1"/>
      <x:c r="H14" s="1"/>
    </x:row>
    <x:row r="15" ht="22" customHeight="1">
      <x:c r="A15" s="1" t="str">
        <x:v>Cost of equity</x:v>
      </x:c>
      <x:c r="B15" s="11" t="n">
        <x:v>0.13</x:v>
      </x:c>
      <x:c r="C15" s="11" t="n">
        <x:v>0.11</x:v>
      </x:c>
      <x:c r="D15" s="11" t="n">
        <x:v>0.1</x:v>
      </x:c>
      <x:c r="E15" s="15" t="n">
        <x:v>0.11</x:v>
      </x:c>
      <x:c r="F15" s="11" t="n">
        <x:f>CHOOSE($B$4,B15,C15,D15,E15)</x:f>
        <x:v>0.11</x:v>
      </x:c>
      <x:c r="G15" s="1"/>
      <x:c r="H15" s="1"/>
    </x:row>
    <x:row r="16" ht="22" customHeight="1">
      <x:c r="A16" s="1" t="str">
        <x:v>Terminal growth</x:v>
      </x:c>
      <x:c r="B16" s="11" t="n">
        <x:v>0.02</x:v>
      </x:c>
      <x:c r="C16" s="11" t="n">
        <x:v>0.03</x:v>
      </x:c>
      <x:c r="D16" s="11" t="n">
        <x:v>0.035</x:v>
      </x:c>
      <x:c r="E16" s="15" t="n">
        <x:v>0.03</x:v>
      </x:c>
      <x:c r="F16" s="11" t="n">
        <x:f>CHOOSE($B$4,B16,C16,D16,E16)</x:f>
        <x:v>0.03</x:v>
      </x:c>
      <x:c r="G16" s="1"/>
      <x:c r="H16" s="1"/>
    </x:row>
    <x:row r="17" ht="22" customHeight="1">
      <x:c r="A17" s="1" t="str">
        <x:v>Price cash-flow observation date</x:v>
      </x:c>
      <x:c r="B17" s="10" t="n">
        <x:v>46300</x:v>
      </x:c>
      <x:c r="C17" s="1"/>
      <x:c r="D17" s="1"/>
      <x:c r="E17" s="1"/>
      <x:c r="F17" s="1"/>
      <x:c r="G17" s="1"/>
      <x:c r="H17" s="1"/>
    </x:row>
    <x:row r="18" ht="22" customHeight="1">
      <x:c r="A18" s="1" t="str">
        <x:v>Required source / policy inputs</x:v>
      </x:c>
      <x:c r="B18" s="1"/>
      <x:c r="C18" s="1"/>
      <x:c r="D18" s="1"/>
      <x:c r="E18" s="1"/>
      <x:c r="F18" s="1" t="str">
        <x:f>IF(AND(COUNT('Actuals'!C6,'Actuals'!C34,'Actuals'!C31,'Actuals'!C44,'Actuals'!C45,'Actuals'!C46,'Actuals'!C40)=7,COUNT(B9:B10)=2),"PASS","MISSING INPUT")</x:f>
        <x:v>PASS</x:v>
      </x:c>
      <x:c r="G18" s="1"/>
      <x:c r="H18" s="1"/>
    </x:row>
    <x:row r="19" ht="22" customHeight="1">
      <x:c r="A19" s="1"/>
      <x:c r="B19" s="1"/>
      <x:c r="C19" s="1"/>
      <x:c r="D19" s="1"/>
      <x:c r="E19" s="1"/>
      <x:c r="F19" s="1"/>
      <x:c r="G19" s="1"/>
      <x:c r="H19" s="1"/>
    </x:row>
    <x:row r="20" ht="22" customHeight="1">
      <x:c r="A20" s="1" t="str">
        <x:v>Revenue growth | Y1</x:v>
      </x:c>
      <x:c r="B20" s="11" t="n">
        <x:v>0.1</x:v>
      </x:c>
      <x:c r="C20" s="11" t="n">
        <x:v>0.25</x:v>
      </x:c>
      <x:c r="D20" s="11" t="n">
        <x:v>0.35</x:v>
      </x:c>
      <x:c r="E20" s="15" t="n">
        <x:v>0.25</x:v>
      </x:c>
      <x:c r="F20" s="11" t="n">
        <x:f>CHOOSE($B$4,B20,C20,D20,E20)</x:f>
        <x:v>0.25</x:v>
      </x:c>
      <x:c r="G20" s="1"/>
      <x:c r="H20" s="1"/>
    </x:row>
    <x:row r="21" ht="22" customHeight="1">
      <x:c r="A21" s="1" t="str">
        <x:v>Revenue growth | Y2</x:v>
      </x:c>
      <x:c r="B21" s="11" t="n">
        <x:v>0.08</x:v>
      </x:c>
      <x:c r="C21" s="11" t="n">
        <x:v>0.2</x:v>
      </x:c>
      <x:c r="D21" s="11" t="n">
        <x:v>0.3</x:v>
      </x:c>
      <x:c r="E21" s="15" t="n">
        <x:v>0.2</x:v>
      </x:c>
      <x:c r="F21" s="11" t="n">
        <x:f>CHOOSE($B$4,B21,C21,D21,E21)</x:f>
        <x:v>0.2</x:v>
      </x:c>
      <x:c r="G21" s="1"/>
      <x:c r="H21" s="1"/>
    </x:row>
    <x:row r="22" ht="22" customHeight="1">
      <x:c r="A22" s="1" t="str">
        <x:v>Revenue growth | Y3</x:v>
      </x:c>
      <x:c r="B22" s="11" t="n">
        <x:v>0.05</x:v>
      </x:c>
      <x:c r="C22" s="11" t="n">
        <x:v>0.15</x:v>
      </x:c>
      <x:c r="D22" s="11" t="n">
        <x:v>0.24</x:v>
      </x:c>
      <x:c r="E22" s="15" t="n">
        <x:v>0.15</x:v>
      </x:c>
      <x:c r="F22" s="11" t="n">
        <x:f>CHOOSE($B$4,B22,C22,D22,E22)</x:f>
        <x:v>0.15</x:v>
      </x:c>
      <x:c r="G22" s="1"/>
      <x:c r="H22" s="1"/>
    </x:row>
    <x:row r="23" ht="22" customHeight="1">
      <x:c r="A23" s="1" t="str">
        <x:v>Revenue growth | Y4</x:v>
      </x:c>
      <x:c r="B23" s="11" t="n">
        <x:v>0.04</x:v>
      </x:c>
      <x:c r="C23" s="11" t="n">
        <x:v>0.12</x:v>
      </x:c>
      <x:c r="D23" s="11" t="n">
        <x:v>0.18</x:v>
      </x:c>
      <x:c r="E23" s="15" t="n">
        <x:v>0.12</x:v>
      </x:c>
      <x:c r="F23" s="11" t="n">
        <x:f>CHOOSE($B$4,B23,C23,D23,E23)</x:f>
        <x:v>0.12</x:v>
      </x:c>
      <x:c r="G23" s="1"/>
      <x:c r="H23" s="1"/>
    </x:row>
    <x:row r="24" ht="22" customHeight="1">
      <x:c r="A24" s="1" t="str">
        <x:v>Revenue growth | Y5</x:v>
      </x:c>
      <x:c r="B24" s="11" t="n">
        <x:v>0.03</x:v>
      </x:c>
      <x:c r="C24" s="11" t="n">
        <x:v>0.08</x:v>
      </x:c>
      <x:c r="D24" s="11" t="n">
        <x:v>0.12</x:v>
      </x:c>
      <x:c r="E24" s="15" t="n">
        <x:v>0.08</x:v>
      </x:c>
      <x:c r="F24" s="11" t="n">
        <x:f>CHOOSE($B$4,B24,C24,D24,E24)</x:f>
        <x:v>0.08</x:v>
      </x:c>
      <x:c r="G24" s="1"/>
      <x:c r="H24" s="1"/>
    </x:row>
    <x:row r="25" ht="22" customHeight="1">
      <x:c r="A25" s="1" t="str">
        <x:v>EBIT margin after SBC | Y1</x:v>
      </x:c>
      <x:c r="B25" s="11" t="n">
        <x:v>0.65</x:v>
      </x:c>
      <x:c r="C25" s="11" t="n">
        <x:v>0.77</x:v>
      </x:c>
      <x:c r="D25" s="11" t="n">
        <x:v>0.8</x:v>
      </x:c>
      <x:c r="E25" s="15" t="n">
        <x:v>0.77</x:v>
      </x:c>
      <x:c r="F25" s="11" t="n">
        <x:f>CHOOSE($B$4,B25,C25,D25,E25)</x:f>
        <x:v>0.77</x:v>
      </x:c>
      <x:c r="G25" s="1"/>
      <x:c r="H25" s="1"/>
    </x:row>
    <x:row r="26" ht="22" customHeight="1">
      <x:c r="A26" s="1" t="str">
        <x:v>EBIT margin after SBC | Y2</x:v>
      </x:c>
      <x:c r="B26" s="11" t="n">
        <x:v>0.63</x:v>
      </x:c>
      <x:c r="C26" s="11" t="n">
        <x:v>0.77</x:v>
      </x:c>
      <x:c r="D26" s="11" t="n">
        <x:v>0.81</x:v>
      </x:c>
      <x:c r="E26" s="15" t="n">
        <x:v>0.77</x:v>
      </x:c>
      <x:c r="F26" s="11" t="n">
        <x:f>CHOOSE($B$4,B26,C26,D26,E26)</x:f>
        <x:v>0.77</x:v>
      </x:c>
      <x:c r="G26" s="1"/>
      <x:c r="H26" s="1"/>
    </x:row>
    <x:row r="27" ht="22" customHeight="1">
      <x:c r="A27" s="1" t="str">
        <x:v>EBIT margin after SBC | Y3</x:v>
      </x:c>
      <x:c r="B27" s="11" t="n">
        <x:v>0.62</x:v>
      </x:c>
      <x:c r="C27" s="11" t="n">
        <x:v>0.76</x:v>
      </x:c>
      <x:c r="D27" s="11" t="n">
        <x:v>0.81</x:v>
      </x:c>
      <x:c r="E27" s="15" t="n">
        <x:v>0.76</x:v>
      </x:c>
      <x:c r="F27" s="11" t="n">
        <x:f>CHOOSE($B$4,B27,C27,D27,E27)</x:f>
        <x:v>0.76</x:v>
      </x:c>
      <x:c r="G27" s="1"/>
      <x:c r="H27" s="1"/>
    </x:row>
    <x:row r="28" ht="22" customHeight="1">
      <x:c r="A28" s="1" t="str">
        <x:v>EBIT margin after SBC | Y4</x:v>
      </x:c>
      <x:c r="B28" s="11" t="n">
        <x:v>0.6</x:v>
      </x:c>
      <x:c r="C28" s="11" t="n">
        <x:v>0.76</x:v>
      </x:c>
      <x:c r="D28" s="11" t="n">
        <x:v>0.8</x:v>
      </x:c>
      <x:c r="E28" s="15" t="n">
        <x:v>0.76</x:v>
      </x:c>
      <x:c r="F28" s="11" t="n">
        <x:f>CHOOSE($B$4,B28,C28,D28,E28)</x:f>
        <x:v>0.76</x:v>
      </x:c>
      <x:c r="G28" s="1"/>
      <x:c r="H28" s="1"/>
    </x:row>
    <x:row r="29" ht="22" customHeight="1">
      <x:c r="A29" s="1" t="str">
        <x:v>EBIT margin after SBC | Y5</x:v>
      </x:c>
      <x:c r="B29" s="11" t="n">
        <x:v>0.6</x:v>
      </x:c>
      <x:c r="C29" s="11" t="n">
        <x:v>0.75</x:v>
      </x:c>
      <x:c r="D29" s="11" t="n">
        <x:v>0.8</x:v>
      </x:c>
      <x:c r="E29" s="15" t="n">
        <x:v>0.75</x:v>
      </x:c>
      <x:c r="F29" s="11" t="n">
        <x:f>CHOOSE($B$4,B29,C29,D29,E29)</x:f>
        <x:v>0.75</x:v>
      </x:c>
      <x:c r="G29" s="1"/>
      <x:c r="H29" s="1"/>
    </x:row>
    <x:row r="30" ht="22" customHeight="1">
      <x:c r="A30" s="1" t="str">
        <x:v>Tax rate | Y1</x:v>
      </x:c>
      <x:c r="B30" s="11" t="n">
        <x:v>0.21</x:v>
      </x:c>
      <x:c r="C30" s="11" t="n">
        <x:v>0.21</x:v>
      </x:c>
      <x:c r="D30" s="11" t="n">
        <x:v>0.21</x:v>
      </x:c>
      <x:c r="E30" s="15" t="n">
        <x:v>0.21</x:v>
      </x:c>
      <x:c r="F30" s="11" t="n">
        <x:f>CHOOSE($B$4,B30,C30,D30,E30)</x:f>
        <x:v>0.21</x:v>
      </x:c>
      <x:c r="G30" s="1"/>
      <x:c r="H30" s="1"/>
    </x:row>
    <x:row r="31" ht="22" customHeight="1">
      <x:c r="A31" s="1" t="str">
        <x:v>Tax rate | Y2</x:v>
      </x:c>
      <x:c r="B31" s="11" t="n">
        <x:v>0.21</x:v>
      </x:c>
      <x:c r="C31" s="11" t="n">
        <x:v>0.21</x:v>
      </x:c>
      <x:c r="D31" s="11" t="n">
        <x:v>0.21</x:v>
      </x:c>
      <x:c r="E31" s="15" t="n">
        <x:v>0.21</x:v>
      </x:c>
      <x:c r="F31" s="11" t="n">
        <x:f>CHOOSE($B$4,B31,C31,D31,E31)</x:f>
        <x:v>0.21</x:v>
      </x:c>
      <x:c r="G31" s="1"/>
      <x:c r="H31" s="1"/>
    </x:row>
    <x:row r="32" ht="22" customHeight="1">
      <x:c r="A32" s="1" t="str">
        <x:v>Tax rate | Y3</x:v>
      </x:c>
      <x:c r="B32" s="11" t="n">
        <x:v>0.21</x:v>
      </x:c>
      <x:c r="C32" s="11" t="n">
        <x:v>0.21</x:v>
      </x:c>
      <x:c r="D32" s="11" t="n">
        <x:v>0.21</x:v>
      </x:c>
      <x:c r="E32" s="15" t="n">
        <x:v>0.21</x:v>
      </x:c>
      <x:c r="F32" s="11" t="n">
        <x:f>CHOOSE($B$4,B32,C32,D32,E32)</x:f>
        <x:v>0.21</x:v>
      </x:c>
      <x:c r="G32" s="1"/>
      <x:c r="H32" s="1"/>
    </x:row>
    <x:row r="33" ht="22" customHeight="1">
      <x:c r="A33" s="1" t="str">
        <x:v>Tax rate | Y4</x:v>
      </x:c>
      <x:c r="B33" s="11" t="n">
        <x:v>0.21</x:v>
      </x:c>
      <x:c r="C33" s="11" t="n">
        <x:v>0.21</x:v>
      </x:c>
      <x:c r="D33" s="11" t="n">
        <x:v>0.21</x:v>
      </x:c>
      <x:c r="E33" s="15" t="n">
        <x:v>0.21</x:v>
      </x:c>
      <x:c r="F33" s="11" t="n">
        <x:f>CHOOSE($B$4,B33,C33,D33,E33)</x:f>
        <x:v>0.21</x:v>
      </x:c>
      <x:c r="G33" s="1"/>
      <x:c r="H33" s="1"/>
    </x:row>
    <x:row r="34" ht="22" customHeight="1">
      <x:c r="A34" s="1" t="str">
        <x:v>Tax rate | Y5</x:v>
      </x:c>
      <x:c r="B34" s="11" t="n">
        <x:v>0.21</x:v>
      </x:c>
      <x:c r="C34" s="11" t="n">
        <x:v>0.21</x:v>
      </x:c>
      <x:c r="D34" s="11" t="n">
        <x:v>0.21</x:v>
      </x:c>
      <x:c r="E34" s="15" t="n">
        <x:v>0.21</x:v>
      </x:c>
      <x:c r="F34" s="11" t="n">
        <x:f>CHOOSE($B$4,B34,C34,D34,E34)</x:f>
        <x:v>0.21</x:v>
      </x:c>
      <x:c r="G34" s="1"/>
      <x:c r="H34" s="1"/>
    </x:row>
    <x:row r="35" ht="22" customHeight="1">
      <x:c r="A35" s="1" t="str">
        <x:v>Cash DA / revenue | Y1</x:v>
      </x:c>
      <x:c r="B35" s="11" t="n">
        <x:v>0.014</x:v>
      </x:c>
      <x:c r="C35" s="11" t="n">
        <x:v>0.014</x:v>
      </x:c>
      <x:c r="D35" s="11" t="n">
        <x:v>0.014</x:v>
      </x:c>
      <x:c r="E35" s="15" t="n">
        <x:v>0.014</x:v>
      </x:c>
      <x:c r="F35" s="11" t="n">
        <x:f>CHOOSE($B$4,B35,C35,D35,E35)</x:f>
        <x:v>0.014</x:v>
      </x:c>
      <x:c r="G35" s="1"/>
      <x:c r="H35" s="1"/>
    </x:row>
    <x:row r="36" ht="22" customHeight="1">
      <x:c r="A36" s="1" t="str">
        <x:v>Cash DA / revenue | Y2</x:v>
      </x:c>
      <x:c r="B36" s="11" t="n">
        <x:v>0.014</x:v>
      </x:c>
      <x:c r="C36" s="11" t="n">
        <x:v>0.014</x:v>
      </x:c>
      <x:c r="D36" s="11" t="n">
        <x:v>0.014</x:v>
      </x:c>
      <x:c r="E36" s="15" t="n">
        <x:v>0.014</x:v>
      </x:c>
      <x:c r="F36" s="11" t="n">
        <x:f>CHOOSE($B$4,B36,C36,D36,E36)</x:f>
        <x:v>0.014</x:v>
      </x:c>
      <x:c r="G36" s="1"/>
      <x:c r="H36" s="1"/>
    </x:row>
    <x:row r="37" ht="22" customHeight="1">
      <x:c r="A37" s="1" t="str">
        <x:v>Cash DA / revenue | Y3</x:v>
      </x:c>
      <x:c r="B37" s="11" t="n">
        <x:v>0.014</x:v>
      </x:c>
      <x:c r="C37" s="11" t="n">
        <x:v>0.014</x:v>
      </x:c>
      <x:c r="D37" s="11" t="n">
        <x:v>0.014</x:v>
      </x:c>
      <x:c r="E37" s="15" t="n">
        <x:v>0.014</x:v>
      </x:c>
      <x:c r="F37" s="11" t="n">
        <x:f>CHOOSE($B$4,B37,C37,D37,E37)</x:f>
        <x:v>0.014</x:v>
      </x:c>
      <x:c r="G37" s="1"/>
      <x:c r="H37" s="1"/>
    </x:row>
    <x:row r="38" ht="22" customHeight="1">
      <x:c r="A38" s="1" t="str">
        <x:v>Cash DA / revenue | Y4</x:v>
      </x:c>
      <x:c r="B38" s="11" t="n">
        <x:v>0.014</x:v>
      </x:c>
      <x:c r="C38" s="11" t="n">
        <x:v>0.014</x:v>
      </x:c>
      <x:c r="D38" s="11" t="n">
        <x:v>0.014</x:v>
      </x:c>
      <x:c r="E38" s="15" t="n">
        <x:v>0.014</x:v>
      </x:c>
      <x:c r="F38" s="11" t="n">
        <x:f>CHOOSE($B$4,B38,C38,D38,E38)</x:f>
        <x:v>0.014</x:v>
      </x:c>
      <x:c r="G38" s="1"/>
      <x:c r="H38" s="1"/>
    </x:row>
    <x:row r="39" ht="22" customHeight="1">
      <x:c r="A39" s="1" t="str">
        <x:v>Cash DA / revenue | Y5</x:v>
      </x:c>
      <x:c r="B39" s="11" t="n">
        <x:v>0.014</x:v>
      </x:c>
      <x:c r="C39" s="11" t="n">
        <x:v>0.014</x:v>
      </x:c>
      <x:c r="D39" s="11" t="n">
        <x:v>0.014</x:v>
      </x:c>
      <x:c r="E39" s="15" t="n">
        <x:v>0.014</x:v>
      </x:c>
      <x:c r="F39" s="11" t="n">
        <x:f>CHOOSE($B$4,B39,C39,D39,E39)</x:f>
        <x:v>0.014</x:v>
      </x:c>
      <x:c r="G39" s="1"/>
      <x:c r="H39" s="1"/>
    </x:row>
    <x:row r="40" ht="22" customHeight="1">
      <x:c r="A40" s="1" t="str">
        <x:v>Capex / revenue | Y1</x:v>
      </x:c>
      <x:c r="B40" s="11" t="n">
        <x:v>0.01</x:v>
      </x:c>
      <x:c r="C40" s="11" t="n">
        <x:v>0.01</x:v>
      </x:c>
      <x:c r="D40" s="11" t="n">
        <x:v>0.01</x:v>
      </x:c>
      <x:c r="E40" s="15" t="n">
        <x:v>0.01</x:v>
      </x:c>
      <x:c r="F40" s="11" t="n">
        <x:f>CHOOSE($B$4,B40,C40,D40,E40)</x:f>
        <x:v>0.01</x:v>
      </x:c>
      <x:c r="G40" s="1"/>
      <x:c r="H40" s="1"/>
    </x:row>
    <x:row r="41" ht="22" customHeight="1">
      <x:c r="A41" s="1" t="str">
        <x:v>Capex / revenue | Y2</x:v>
      </x:c>
      <x:c r="B41" s="11" t="n">
        <x:v>0.01</x:v>
      </x:c>
      <x:c r="C41" s="11" t="n">
        <x:v>0.01</x:v>
      </x:c>
      <x:c r="D41" s="11" t="n">
        <x:v>0.01</x:v>
      </x:c>
      <x:c r="E41" s="15" t="n">
        <x:v>0.01</x:v>
      </x:c>
      <x:c r="F41" s="11" t="n">
        <x:f>CHOOSE($B$4,B41,C41,D41,E41)</x:f>
        <x:v>0.01</x:v>
      </x:c>
      <x:c r="G41" s="1"/>
      <x:c r="H41" s="1"/>
    </x:row>
    <x:row r="42" ht="22" customHeight="1">
      <x:c r="A42" s="1" t="str">
        <x:v>Capex / revenue | Y3</x:v>
      </x:c>
      <x:c r="B42" s="11" t="n">
        <x:v>0.01</x:v>
      </x:c>
      <x:c r="C42" s="11" t="n">
        <x:v>0.01</x:v>
      </x:c>
      <x:c r="D42" s="11" t="n">
        <x:v>0.01</x:v>
      </x:c>
      <x:c r="E42" s="15" t="n">
        <x:v>0.01</x:v>
      </x:c>
      <x:c r="F42" s="11" t="n">
        <x:f>CHOOSE($B$4,B42,C42,D42,E42)</x:f>
        <x:v>0.01</x:v>
      </x:c>
      <x:c r="G42" s="1"/>
      <x:c r="H42" s="1"/>
    </x:row>
    <x:row r="43" ht="22" customHeight="1">
      <x:c r="A43" s="1" t="str">
        <x:v>Capex / revenue | Y4</x:v>
      </x:c>
      <x:c r="B43" s="11" t="n">
        <x:v>0.01</x:v>
      </x:c>
      <x:c r="C43" s="11" t="n">
        <x:v>0.01</x:v>
      </x:c>
      <x:c r="D43" s="11" t="n">
        <x:v>0.01</x:v>
      </x:c>
      <x:c r="E43" s="15" t="n">
        <x:v>0.01</x:v>
      </x:c>
      <x:c r="F43" s="11" t="n">
        <x:f>CHOOSE($B$4,B43,C43,D43,E43)</x:f>
        <x:v>0.01</x:v>
      </x:c>
      <x:c r="G43" s="1"/>
      <x:c r="H43" s="1"/>
    </x:row>
    <x:row r="44" ht="22" customHeight="1">
      <x:c r="A44" s="1" t="str">
        <x:v>Capex / revenue | Y5</x:v>
      </x:c>
      <x:c r="B44" s="11" t="n">
        <x:v>0.01</x:v>
      </x:c>
      <x:c r="C44" s="11" t="n">
        <x:v>0.01</x:v>
      </x:c>
      <x:c r="D44" s="11" t="n">
        <x:v>0.01</x:v>
      </x:c>
      <x:c r="E44" s="15" t="n">
        <x:v>0.01</x:v>
      </x:c>
      <x:c r="F44" s="11" t="n">
        <x:f>CHOOSE($B$4,B44,C44,D44,E44)</x:f>
        <x:v>0.01</x:v>
      </x:c>
      <x:c r="G44" s="1"/>
      <x:c r="H44" s="1"/>
    </x:row>
    <x:row r="45" ht="22" customHeight="1">
      <x:c r="A45" s="1" t="str">
        <x:v>Incremental WC / revenue | Y1</x:v>
      </x:c>
      <x:c r="B45" s="11" t="n">
        <x:v>0.12</x:v>
      </x:c>
      <x:c r="C45" s="11" t="n">
        <x:v>0.12</x:v>
      </x:c>
      <x:c r="D45" s="11" t="n">
        <x:v>0.12</x:v>
      </x:c>
      <x:c r="E45" s="15" t="n">
        <x:v>0.12</x:v>
      </x:c>
      <x:c r="F45" s="11" t="n">
        <x:f>CHOOSE($B$4,B45,C45,D45,E45)</x:f>
        <x:v>0.12</x:v>
      </x:c>
      <x:c r="G45" s="1"/>
      <x:c r="H45" s="1"/>
    </x:row>
    <x:row r="46" ht="22" customHeight="1">
      <x:c r="A46" s="1" t="str">
        <x:v>Incremental WC / revenue | Y2</x:v>
      </x:c>
      <x:c r="B46" s="11" t="n">
        <x:v>0.12</x:v>
      </x:c>
      <x:c r="C46" s="11" t="n">
        <x:v>0.12</x:v>
      </x:c>
      <x:c r="D46" s="11" t="n">
        <x:v>0.12</x:v>
      </x:c>
      <x:c r="E46" s="15" t="n">
        <x:v>0.12</x:v>
      </x:c>
      <x:c r="F46" s="11" t="n">
        <x:f>CHOOSE($B$4,B46,C46,D46,E46)</x:f>
        <x:v>0.12</x:v>
      </x:c>
      <x:c r="G46" s="1"/>
      <x:c r="H46" s="1"/>
    </x:row>
    <x:row r="47" ht="22" customHeight="1">
      <x:c r="A47" s="1" t="str">
        <x:v>Incremental WC / revenue | Y3</x:v>
      </x:c>
      <x:c r="B47" s="11" t="n">
        <x:v>0.12</x:v>
      </x:c>
      <x:c r="C47" s="11" t="n">
        <x:v>0.12</x:v>
      </x:c>
      <x:c r="D47" s="11" t="n">
        <x:v>0.12</x:v>
      </x:c>
      <x:c r="E47" s="15" t="n">
        <x:v>0.12</x:v>
      </x:c>
      <x:c r="F47" s="11" t="n">
        <x:f>CHOOSE($B$4,B47,C47,D47,E47)</x:f>
        <x:v>0.12</x:v>
      </x:c>
      <x:c r="G47" s="1"/>
      <x:c r="H47" s="1"/>
    </x:row>
    <x:row r="48" ht="22" customHeight="1">
      <x:c r="A48" s="1" t="str">
        <x:v>Incremental WC / revenue | Y4</x:v>
      </x:c>
      <x:c r="B48" s="11" t="n">
        <x:v>0.12</x:v>
      </x:c>
      <x:c r="C48" s="11" t="n">
        <x:v>0.12</x:v>
      </x:c>
      <x:c r="D48" s="11" t="n">
        <x:v>0.12</x:v>
      </x:c>
      <x:c r="E48" s="15" t="n">
        <x:v>0.12</x:v>
      </x:c>
      <x:c r="F48" s="11" t="n">
        <x:f>CHOOSE($B$4,B48,C48,D48,E48)</x:f>
        <x:v>0.12</x:v>
      </x:c>
      <x:c r="G48" s="1"/>
      <x:c r="H48" s="1"/>
    </x:row>
    <x:row r="49" ht="22" customHeight="1">
      <x:c r="A49" s="1" t="str">
        <x:v>Incremental WC / revenue | Y5</x:v>
      </x:c>
      <x:c r="B49" s="11" t="n">
        <x:v>0.12</x:v>
      </x:c>
      <x:c r="C49" s="11" t="n">
        <x:v>0.12</x:v>
      </x:c>
      <x:c r="D49" s="11" t="n">
        <x:v>0.12</x:v>
      </x:c>
      <x:c r="E49" s="15" t="n">
        <x:v>0.12</x:v>
      </x:c>
      <x:c r="F49" s="11" t="n">
        <x:f>CHOOSE($B$4,B49,C49,D49,E49)</x:f>
        <x:v>0.12</x:v>
      </x:c>
      <x:c r="G49" s="1"/>
      <x:c r="H49" s="1"/>
    </x:row>
    <x:row r="50" ht="22" customHeight="1">
      <x:c r="A50" s="1" t="str">
        <x:v>Annual interest | Y1</x:v>
      </x:c>
      <x:c r="B50" s="12" t="n">
        <x:v>204.63</x:v>
      </x:c>
      <x:c r="C50" s="12" t="n">
        <x:v>204.63</x:v>
      </x:c>
      <x:c r="D50" s="12" t="n">
        <x:v>204.63</x:v>
      </x:c>
      <x:c r="E50" s="17" t="n">
        <x:v>204.63</x:v>
      </x:c>
      <x:c r="F50" s="12" t="n">
        <x:f>CHOOSE($B$4,B50,C50,D50,E50)</x:f>
        <x:v>204.63</x:v>
      </x:c>
      <x:c r="G50" s="1"/>
      <x:c r="H50" s="1"/>
    </x:row>
    <x:row r="51" ht="22" customHeight="1">
      <x:c r="A51" s="1" t="str">
        <x:v>Annual interest | Y2</x:v>
      </x:c>
      <x:c r="B51" s="12" t="n">
        <x:v>204.63</x:v>
      </x:c>
      <x:c r="C51" s="12" t="n">
        <x:v>204.63</x:v>
      </x:c>
      <x:c r="D51" s="12" t="n">
        <x:v>204.63</x:v>
      </x:c>
      <x:c r="E51" s="17" t="n">
        <x:v>204.63</x:v>
      </x:c>
      <x:c r="F51" s="12" t="n">
        <x:f>CHOOSE($B$4,B51,C51,D51,E51)</x:f>
        <x:v>204.63</x:v>
      </x:c>
      <x:c r="G51" s="1"/>
      <x:c r="H51" s="1"/>
    </x:row>
    <x:row r="52" ht="22" customHeight="1">
      <x:c r="A52" s="1" t="str">
        <x:v>Annual interest | Y3</x:v>
      </x:c>
      <x:c r="B52" s="12" t="n">
        <x:v>204.63</x:v>
      </x:c>
      <x:c r="C52" s="12" t="n">
        <x:v>204.63</x:v>
      </x:c>
      <x:c r="D52" s="12" t="n">
        <x:v>204.63</x:v>
      </x:c>
      <x:c r="E52" s="17" t="n">
        <x:v>204.63</x:v>
      </x:c>
      <x:c r="F52" s="12" t="n">
        <x:f>CHOOSE($B$4,B52,C52,D52,E52)</x:f>
        <x:v>204.63</x:v>
      </x:c>
      <x:c r="G52" s="1"/>
      <x:c r="H52" s="1"/>
    </x:row>
    <x:row r="53" ht="22" customHeight="1">
      <x:c r="A53" s="1" t="str">
        <x:v>Annual interest | Y4</x:v>
      </x:c>
      <x:c r="B53" s="12" t="n">
        <x:v>204.63</x:v>
      </x:c>
      <x:c r="C53" s="12" t="n">
        <x:v>204.63</x:v>
      </x:c>
      <x:c r="D53" s="12" t="n">
        <x:v>204.63</x:v>
      </x:c>
      <x:c r="E53" s="17" t="n">
        <x:v>204.63</x:v>
      </x:c>
      <x:c r="F53" s="12" t="n">
        <x:f>CHOOSE($B$4,B53,C53,D53,E53)</x:f>
        <x:v>204.63</x:v>
      </x:c>
      <x:c r="G53" s="1"/>
      <x:c r="H53" s="1"/>
    </x:row>
    <x:row r="54" ht="22" customHeight="1">
      <x:c r="A54" s="1" t="str">
        <x:v>Annual interest | Y5</x:v>
      </x:c>
      <x:c r="B54" s="12" t="n">
        <x:v>204.63</x:v>
      </x:c>
      <x:c r="C54" s="12" t="n">
        <x:v>204.63</x:v>
      </x:c>
      <x:c r="D54" s="12" t="n">
        <x:v>204.63</x:v>
      </x:c>
      <x:c r="E54" s="17" t="n">
        <x:v>204.63</x:v>
      </x:c>
      <x:c r="F54" s="12" t="n">
        <x:f>CHOOSE($B$4,B54,C54,D54,E54)</x:f>
        <x:v>204.63</x:v>
      </x:c>
      <x:c r="G54" s="1"/>
      <x:c r="H54" s="1"/>
    </x:row>
    <x:row r="55" ht="22" customHeight="1">
      <x:c r="A55" s="1" t="str">
        <x:v>Annual net borrowing | Y1</x:v>
      </x:c>
      <x:c r="B55" s="12" t="n">
        <x:v>0</x:v>
      </x:c>
      <x:c r="C55" s="12" t="n">
        <x:v>0</x:v>
      </x:c>
      <x:c r="D55" s="12" t="n">
        <x:v>0</x:v>
      </x:c>
      <x:c r="E55" s="17" t="n">
        <x:v>0</x:v>
      </x:c>
      <x:c r="F55" s="12" t="n">
        <x:f>CHOOSE($B$4,B55,C55,D55,E55)</x:f>
        <x:v>0</x:v>
      </x:c>
      <x:c r="G55" s="1"/>
      <x:c r="H55" s="1"/>
    </x:row>
    <x:row r="56" ht="22" customHeight="1">
      <x:c r="A56" s="1" t="str">
        <x:v>Annual net borrowing | Y2</x:v>
      </x:c>
      <x:c r="B56" s="12" t="n">
        <x:v>0</x:v>
      </x:c>
      <x:c r="C56" s="12" t="n">
        <x:v>0</x:v>
      </x:c>
      <x:c r="D56" s="12" t="n">
        <x:v>0</x:v>
      </x:c>
      <x:c r="E56" s="17" t="n">
        <x:v>0</x:v>
      </x:c>
      <x:c r="F56" s="12" t="n">
        <x:f>CHOOSE($B$4,B56,C56,D56,E56)</x:f>
        <x:v>0</x:v>
      </x:c>
      <x:c r="G56" s="1"/>
      <x:c r="H56" s="1"/>
    </x:row>
    <x:row r="57" ht="22" customHeight="1">
      <x:c r="A57" s="1" t="str">
        <x:v>Annual net borrowing | Y3</x:v>
      </x:c>
      <x:c r="B57" s="12" t="n">
        <x:v>0</x:v>
      </x:c>
      <x:c r="C57" s="12" t="n">
        <x:v>0</x:v>
      </x:c>
      <x:c r="D57" s="12" t="n">
        <x:v>0</x:v>
      </x:c>
      <x:c r="E57" s="17" t="n">
        <x:v>0</x:v>
      </x:c>
      <x:c r="F57" s="12" t="n">
        <x:f>CHOOSE($B$4,B57,C57,D57,E57)</x:f>
        <x:v>0</x:v>
      </x:c>
      <x:c r="G57" s="1"/>
      <x:c r="H57" s="1"/>
    </x:row>
    <x:row r="58" ht="22" customHeight="1">
      <x:c r="A58" s="1" t="str">
        <x:v>Annual net borrowing | Y4</x:v>
      </x:c>
      <x:c r="B58" s="12" t="n">
        <x:v>0</x:v>
      </x:c>
      <x:c r="C58" s="12" t="n">
        <x:v>0</x:v>
      </x:c>
      <x:c r="D58" s="12" t="n">
        <x:v>0</x:v>
      </x:c>
      <x:c r="E58" s="17" t="n">
        <x:v>0</x:v>
      </x:c>
      <x:c r="F58" s="12" t="n">
        <x:f>CHOOSE($B$4,B58,C58,D58,E58)</x:f>
        <x:v>0</x:v>
      </x:c>
      <x:c r="G58" s="1"/>
      <x:c r="H58" s="1"/>
    </x:row>
    <x:row r="59" ht="22" customHeight="1">
      <x:c r="A59" s="1" t="str">
        <x:v>Annual net borrowing | Y5</x:v>
      </x:c>
      <x:c r="B59" s="12" t="n">
        <x:v>0</x:v>
      </x:c>
      <x:c r="C59" s="12" t="n">
        <x:v>0</x:v>
      </x:c>
      <x:c r="D59" s="12" t="n">
        <x:v>0</x:v>
      </x:c>
      <x:c r="E59" s="17" t="n">
        <x:v>0</x:v>
      </x:c>
      <x:c r="F59" s="12" t="n">
        <x:f>CHOOSE($B$4,B59,C59,D59,E59)</x:f>
        <x:v>0</x:v>
      </x:c>
      <x:c r="G59" s="1"/>
      <x:c r="H59" s="1"/>
    </x:row>
    <x:row r="60" ht="22" customHeight="1">
      <x:c r="A60" s="1" t="str">
        <x:v>Dividend payout | Y1</x:v>
      </x:c>
      <x:c r="B60" s="11" t="n">
        <x:v>0</x:v>
      </x:c>
      <x:c r="C60" s="11" t="n">
        <x:v>0</x:v>
      </x:c>
      <x:c r="D60" s="11" t="n">
        <x:v>0</x:v>
      </x:c>
      <x:c r="E60" s="15" t="n">
        <x:v>0</x:v>
      </x:c>
      <x:c r="F60" s="11" t="n">
        <x:f>CHOOSE($B$4,B60,C60,D60,E60)</x:f>
        <x:v>0</x:v>
      </x:c>
      <x:c r="G60" s="1"/>
      <x:c r="H60" s="1"/>
    </x:row>
    <x:row r="61" ht="22" customHeight="1">
      <x:c r="A61" s="1" t="str">
        <x:v>Dividend payout | Y2</x:v>
      </x:c>
      <x:c r="B61" s="11" t="n">
        <x:v>0</x:v>
      </x:c>
      <x:c r="C61" s="11" t="n">
        <x:v>0</x:v>
      </x:c>
      <x:c r="D61" s="11" t="n">
        <x:v>0</x:v>
      </x:c>
      <x:c r="E61" s="15" t="n">
        <x:v>0</x:v>
      </x:c>
      <x:c r="F61" s="11" t="n">
        <x:f>CHOOSE($B$4,B61,C61,D61,E61)</x:f>
        <x:v>0</x:v>
      </x:c>
      <x:c r="G61" s="1"/>
      <x:c r="H61" s="1"/>
    </x:row>
    <x:row r="62" ht="22" customHeight="1">
      <x:c r="A62" s="1" t="str">
        <x:v>Dividend payout | Y3</x:v>
      </x:c>
      <x:c r="B62" s="11" t="n">
        <x:v>0</x:v>
      </x:c>
      <x:c r="C62" s="11" t="n">
        <x:v>0</x:v>
      </x:c>
      <x:c r="D62" s="11" t="n">
        <x:v>0</x:v>
      </x:c>
      <x:c r="E62" s="15" t="n">
        <x:v>0</x:v>
      </x:c>
      <x:c r="F62" s="11" t="n">
        <x:f>CHOOSE($B$4,B62,C62,D62,E62)</x:f>
        <x:v>0</x:v>
      </x:c>
      <x:c r="G62" s="1"/>
      <x:c r="H62" s="1"/>
    </x:row>
    <x:row r="63" ht="22" customHeight="1">
      <x:c r="A63" s="1" t="str">
        <x:v>Dividend payout | Y4</x:v>
      </x:c>
      <x:c r="B63" s="11" t="n">
        <x:v>0</x:v>
      </x:c>
      <x:c r="C63" s="11" t="n">
        <x:v>0</x:v>
      </x:c>
      <x:c r="D63" s="11" t="n">
        <x:v>0</x:v>
      </x:c>
      <x:c r="E63" s="15" t="n">
        <x:v>0</x:v>
      </x:c>
      <x:c r="F63" s="11" t="n">
        <x:f>CHOOSE($B$4,B63,C63,D63,E63)</x:f>
        <x:v>0</x:v>
      </x:c>
      <x:c r="G63" s="1"/>
      <x:c r="H63" s="1"/>
    </x:row>
    <x:row r="64" ht="22" customHeight="1">
      <x:c r="A64" s="1" t="str">
        <x:v>Dividend payout | Y5</x:v>
      </x:c>
      <x:c r="B64" s="11" t="n">
        <x:v>0</x:v>
      </x:c>
      <x:c r="C64" s="11" t="n">
        <x:v>0</x:v>
      </x:c>
      <x:c r="D64" s="11" t="n">
        <x:v>0</x:v>
      </x:c>
      <x:c r="E64" s="15" t="n">
        <x:v>0</x:v>
      </x:c>
      <x:c r="F64" s="11" t="n">
        <x:f>CHOOSE($B$4,B64,C64,D64,E64)</x:f>
        <x:v>0</x:v>
      </x:c>
      <x:c r="G64" s="1"/>
      <x:c r="H64" s="1"/>
    </x:row>
    <x:row r="65" ht="22" customHeight="1">
      <x:c r="A65" s="1" t="str">
        <x:v>Period buybacks | Y1</x:v>
      </x:c>
      <x:c r="B65" s="12" t="n">
        <x:v>0</x:v>
      </x:c>
      <x:c r="C65" s="12" t="n">
        <x:v>0</x:v>
      </x:c>
      <x:c r="D65" s="12" t="n">
        <x:v>0</x:v>
      </x:c>
      <x:c r="E65" s="17" t="n">
        <x:v>0</x:v>
      </x:c>
      <x:c r="F65" s="12" t="n">
        <x:f>CHOOSE($B$4,B65,C65,D65,E65)</x:f>
        <x:v>0</x:v>
      </x:c>
      <x:c r="G65" s="1"/>
      <x:c r="H65" s="1"/>
    </x:row>
    <x:row r="66" ht="22" customHeight="1">
      <x:c r="A66" s="1" t="str">
        <x:v>Period buybacks | Y2</x:v>
      </x:c>
      <x:c r="B66" s="12" t="n">
        <x:v>0</x:v>
      </x:c>
      <x:c r="C66" s="12" t="n">
        <x:v>0</x:v>
      </x:c>
      <x:c r="D66" s="12" t="n">
        <x:v>0</x:v>
      </x:c>
      <x:c r="E66" s="17" t="n">
        <x:v>0</x:v>
      </x:c>
      <x:c r="F66" s="12" t="n">
        <x:f>CHOOSE($B$4,B66,C66,D66,E66)</x:f>
        <x:v>0</x:v>
      </x:c>
      <x:c r="G66" s="1"/>
      <x:c r="H66" s="1"/>
    </x:row>
    <x:row r="67" ht="22" customHeight="1">
      <x:c r="A67" s="1" t="str">
        <x:v>Period buybacks | Y3</x:v>
      </x:c>
      <x:c r="B67" s="12" t="n">
        <x:v>0</x:v>
      </x:c>
      <x:c r="C67" s="12" t="n">
        <x:v>0</x:v>
      </x:c>
      <x:c r="D67" s="12" t="n">
        <x:v>0</x:v>
      </x:c>
      <x:c r="E67" s="17" t="n">
        <x:v>0</x:v>
      </x:c>
      <x:c r="F67" s="12" t="n">
        <x:f>CHOOSE($B$4,B67,C67,D67,E67)</x:f>
        <x:v>0</x:v>
      </x:c>
      <x:c r="G67" s="1"/>
      <x:c r="H67" s="1"/>
    </x:row>
    <x:row r="68" ht="22" customHeight="1">
      <x:c r="A68" s="1" t="str">
        <x:v>Period buybacks | Y4</x:v>
      </x:c>
      <x:c r="B68" s="12" t="n">
        <x:v>0</x:v>
      </x:c>
      <x:c r="C68" s="12" t="n">
        <x:v>0</x:v>
      </x:c>
      <x:c r="D68" s="12" t="n">
        <x:v>0</x:v>
      </x:c>
      <x:c r="E68" s="17" t="n">
        <x:v>0</x:v>
      </x:c>
      <x:c r="F68" s="12" t="n">
        <x:f>CHOOSE($B$4,B68,C68,D68,E68)</x:f>
        <x:v>0</x:v>
      </x:c>
      <x:c r="G68" s="1"/>
      <x:c r="H68" s="1"/>
    </x:row>
    <x:row r="69" ht="22" customHeight="1">
      <x:c r="A69" s="1" t="str">
        <x:v>Period buybacks | Y5</x:v>
      </x:c>
      <x:c r="B69" s="12" t="n">
        <x:v>0</x:v>
      </x:c>
      <x:c r="C69" s="12" t="n">
        <x:v>0</x:v>
      </x:c>
      <x:c r="D69" s="12" t="n">
        <x:v>0</x:v>
      </x:c>
      <x:c r="E69" s="17" t="n">
        <x:v>0</x:v>
      </x:c>
      <x:c r="F69" s="12" t="n">
        <x:f>CHOOSE($B$4,B69,C69,D69,E69)</x:f>
        <x:v>0</x:v>
      </x:c>
      <x:c r="G69" s="1"/>
      <x:c r="H69" s="1"/>
    </x:row>
    <x:row r="70" ht="22" customHeight="1">
      <x:c r="A70" s="1" t="str">
        <x:v>Separate gross dilution | Y1</x:v>
      </x:c>
      <x:c r="B70" s="11" t="n">
        <x:v>0</x:v>
      </x:c>
      <x:c r="C70" s="11" t="n">
        <x:v>0</x:v>
      </x:c>
      <x:c r="D70" s="11" t="n">
        <x:v>0</x:v>
      </x:c>
      <x:c r="E70" s="15" t="n">
        <x:v>0</x:v>
      </x:c>
      <x:c r="F70" s="11" t="n">
        <x:f>CHOOSE($B$4,B70,C70,D70,E70)</x:f>
        <x:v>0</x:v>
      </x:c>
      <x:c r="G70" s="1"/>
      <x:c r="H70" s="1"/>
    </x:row>
    <x:row r="71" ht="22" customHeight="1">
      <x:c r="A71" s="1" t="str">
        <x:v>Separate gross dilution | Y2</x:v>
      </x:c>
      <x:c r="B71" s="11" t="n">
        <x:v>0</x:v>
      </x:c>
      <x:c r="C71" s="11" t="n">
        <x:v>0</x:v>
      </x:c>
      <x:c r="D71" s="11" t="n">
        <x:v>0</x:v>
      </x:c>
      <x:c r="E71" s="15" t="n">
        <x:v>0</x:v>
      </x:c>
      <x:c r="F71" s="11" t="n">
        <x:f>CHOOSE($B$4,B71,C71,D71,E71)</x:f>
        <x:v>0</x:v>
      </x:c>
      <x:c r="G71" s="1"/>
      <x:c r="H71" s="1"/>
    </x:row>
    <x:row r="72" ht="22" customHeight="1">
      <x:c r="A72" s="1" t="str">
        <x:v>Separate gross dilution | Y3</x:v>
      </x:c>
      <x:c r="B72" s="11" t="n">
        <x:v>0</x:v>
      </x:c>
      <x:c r="C72" s="11" t="n">
        <x:v>0</x:v>
      </x:c>
      <x:c r="D72" s="11" t="n">
        <x:v>0</x:v>
      </x:c>
      <x:c r="E72" s="15" t="n">
        <x:v>0</x:v>
      </x:c>
      <x:c r="F72" s="11" t="n">
        <x:f>CHOOSE($B$4,B72,C72,D72,E72)</x:f>
        <x:v>0</x:v>
      </x:c>
      <x:c r="G72" s="1"/>
      <x:c r="H72" s="1"/>
    </x:row>
    <x:row r="73" ht="22" customHeight="1">
      <x:c r="A73" s="1" t="str">
        <x:v>Separate gross dilution | Y4</x:v>
      </x:c>
      <x:c r="B73" s="11" t="n">
        <x:v>0</x:v>
      </x:c>
      <x:c r="C73" s="11" t="n">
        <x:v>0</x:v>
      </x:c>
      <x:c r="D73" s="11" t="n">
        <x:v>0</x:v>
      </x:c>
      <x:c r="E73" s="15" t="n">
        <x:v>0</x:v>
      </x:c>
      <x:c r="F73" s="11" t="n">
        <x:f>CHOOSE($B$4,B73,C73,D73,E73)</x:f>
        <x:v>0</x:v>
      </x:c>
      <x:c r="G73" s="1"/>
      <x:c r="H73" s="1"/>
    </x:row>
    <x:row r="74" ht="22" customHeight="1">
      <x:c r="A74" s="1" t="str">
        <x:v>Separate gross dilution | Y5</x:v>
      </x:c>
      <x:c r="B74" s="11" t="n">
        <x:v>0</x:v>
      </x:c>
      <x:c r="C74" s="11" t="n">
        <x:v>0</x:v>
      </x:c>
      <x:c r="D74" s="11" t="n">
        <x:v>0</x:v>
      </x:c>
      <x:c r="E74" s="15" t="n">
        <x:v>0</x:v>
      </x:c>
      <x:c r="F74" s="11" t="n">
        <x:f>CHOOSE($B$4,B74,C74,D74,E74)</x:f>
        <x:v>0</x:v>
      </x:c>
      <x:c r="G74" s="1"/>
      <x:c r="H74" s="1"/>
    </x:row>
    <x:row r="75" ht="22" customHeight="1">
      <x:c r="A75" s="1" t="str">
        <x:v>Buyback price per share | Y1</x:v>
      </x:c>
      <x:c r="B75" s="12" t="n">
        <x:v>281.97</x:v>
      </x:c>
      <x:c r="C75" s="12" t="n">
        <x:v>281.97</x:v>
      </x:c>
      <x:c r="D75" s="12" t="n">
        <x:v>281.97</x:v>
      </x:c>
      <x:c r="E75" s="17" t="n">
        <x:v>281.97</x:v>
      </x:c>
      <x:c r="F75" s="12" t="n">
        <x:f>CHOOSE($B$4,B75,C75,D75,E75)</x:f>
        <x:v>281.97</x:v>
      </x:c>
      <x:c r="G75" s="1"/>
      <x:c r="H75" s="1"/>
    </x:row>
    <x:row r="76" ht="22" customHeight="1">
      <x:c r="A76" s="1" t="str">
        <x:v>Buyback price per share | Y2</x:v>
      </x:c>
      <x:c r="B76" s="12" t="n">
        <x:v>281.97</x:v>
      </x:c>
      <x:c r="C76" s="12" t="n">
        <x:v>281.97</x:v>
      </x:c>
      <x:c r="D76" s="12" t="n">
        <x:v>281.97</x:v>
      </x:c>
      <x:c r="E76" s="17" t="n">
        <x:v>281.97</x:v>
      </x:c>
      <x:c r="F76" s="12" t="n">
        <x:f>CHOOSE($B$4,B76,C76,D76,E76)</x:f>
        <x:v>281.97</x:v>
      </x:c>
      <x:c r="G76" s="1"/>
      <x:c r="H76" s="1"/>
    </x:row>
    <x:row r="77" ht="22" customHeight="1">
      <x:c r="A77" s="1" t="str">
        <x:v>Buyback price per share | Y3</x:v>
      </x:c>
      <x:c r="B77" s="12" t="n">
        <x:v>281.97</x:v>
      </x:c>
      <x:c r="C77" s="12" t="n">
        <x:v>281.97</x:v>
      </x:c>
      <x:c r="D77" s="12" t="n">
        <x:v>281.97</x:v>
      </x:c>
      <x:c r="E77" s="17" t="n">
        <x:v>281.97</x:v>
      </x:c>
      <x:c r="F77" s="12" t="n">
        <x:f>CHOOSE($B$4,B77,C77,D77,E77)</x:f>
        <x:v>281.97</x:v>
      </x:c>
      <x:c r="G77" s="1"/>
      <x:c r="H77" s="1"/>
    </x:row>
    <x:row r="78" ht="22" customHeight="1">
      <x:c r="A78" s="1" t="str">
        <x:v>Buyback price per share | Y4</x:v>
      </x:c>
      <x:c r="B78" s="12" t="n">
        <x:v>281.97</x:v>
      </x:c>
      <x:c r="C78" s="12" t="n">
        <x:v>281.97</x:v>
      </x:c>
      <x:c r="D78" s="12" t="n">
        <x:v>281.97</x:v>
      </x:c>
      <x:c r="E78" s="17" t="n">
        <x:v>281.97</x:v>
      </x:c>
      <x:c r="F78" s="12" t="n">
        <x:f>CHOOSE($B$4,B78,C78,D78,E78)</x:f>
        <x:v>281.97</x:v>
      </x:c>
      <x:c r="G78" s="1"/>
      <x:c r="H78" s="1"/>
    </x:row>
    <x:row r="79" ht="22" customHeight="1">
      <x:c r="A79" s="1" t="str">
        <x:v>Buyback price per share | Y5</x:v>
      </x:c>
      <x:c r="B79" s="12" t="n">
        <x:v>281.97</x:v>
      </x:c>
      <x:c r="C79" s="12" t="n">
        <x:v>281.97</x:v>
      </x:c>
      <x:c r="D79" s="12" t="n">
        <x:v>281.97</x:v>
      </x:c>
      <x:c r="E79" s="17" t="n">
        <x:v>281.97</x:v>
      </x:c>
      <x:c r="F79" s="12" t="n">
        <x:f>CHOOSE($B$4,B79,C79,D79,E79)</x:f>
        <x:v>281.97</x:v>
      </x:c>
      <x:c r="G79" s="1"/>
      <x:c r="H79" s="1"/>
    </x:row>
    <x:row r="80" ht="22" customHeight="1">
      <x:c r="A80" s="1" t="str">
        <x:v>Excess cash yield | Y1</x:v>
      </x:c>
      <x:c r="B80" s="11" t="n">
        <x:v>0</x:v>
      </x:c>
      <x:c r="C80" s="11" t="n">
        <x:v>0</x:v>
      </x:c>
      <x:c r="D80" s="11" t="n">
        <x:v>0</x:v>
      </x:c>
      <x:c r="E80" s="15" t="n">
        <x:v>0</x:v>
      </x:c>
      <x:c r="F80" s="11" t="n">
        <x:f>CHOOSE($B$4,B80,C80,D80,E80)</x:f>
        <x:v>0</x:v>
      </x:c>
      <x:c r="G80" s="1"/>
      <x:c r="H80" s="1"/>
    </x:row>
    <x:row r="81" ht="22" customHeight="1">
      <x:c r="A81" s="1" t="str">
        <x:v>Excess cash yield | Y2</x:v>
      </x:c>
      <x:c r="B81" s="11" t="n">
        <x:v>0</x:v>
      </x:c>
      <x:c r="C81" s="11" t="n">
        <x:v>0</x:v>
      </x:c>
      <x:c r="D81" s="11" t="n">
        <x:v>0</x:v>
      </x:c>
      <x:c r="E81" s="15" t="n">
        <x:v>0</x:v>
      </x:c>
      <x:c r="F81" s="11" t="n">
        <x:f>CHOOSE($B$4,B81,C81,D81,E81)</x:f>
        <x:v>0</x:v>
      </x:c>
      <x:c r="G81" s="1"/>
      <x:c r="H81" s="1"/>
    </x:row>
    <x:row r="82" ht="22" customHeight="1">
      <x:c r="A82" s="1" t="str">
        <x:v>Excess cash yield | Y3</x:v>
      </x:c>
      <x:c r="B82" s="11" t="n">
        <x:v>0</x:v>
      </x:c>
      <x:c r="C82" s="11" t="n">
        <x:v>0</x:v>
      </x:c>
      <x:c r="D82" s="11" t="n">
        <x:v>0</x:v>
      </x:c>
      <x:c r="E82" s="15" t="n">
        <x:v>0</x:v>
      </x:c>
      <x:c r="F82" s="11" t="n">
        <x:f>CHOOSE($B$4,B82,C82,D82,E82)</x:f>
        <x:v>0</x:v>
      </x:c>
      <x:c r="G82" s="1"/>
      <x:c r="H82" s="1"/>
    </x:row>
    <x:row r="83" ht="22" customHeight="1">
      <x:c r="A83" s="1" t="str">
        <x:v>Excess cash yield | Y4</x:v>
      </x:c>
      <x:c r="B83" s="11" t="n">
        <x:v>0</x:v>
      </x:c>
      <x:c r="C83" s="11" t="n">
        <x:v>0</x:v>
      </x:c>
      <x:c r="D83" s="11" t="n">
        <x:v>0</x:v>
      </x:c>
      <x:c r="E83" s="15" t="n">
        <x:v>0</x:v>
      </x:c>
      <x:c r="F83" s="11" t="n">
        <x:f>CHOOSE($B$4,B83,C83,D83,E83)</x:f>
        <x:v>0</x:v>
      </x:c>
      <x:c r="G83" s="1"/>
      <x:c r="H83" s="1"/>
    </x:row>
    <x:row r="84" ht="22" customHeight="1">
      <x:c r="A84" s="1" t="str">
        <x:v>Excess cash yield | Y5</x:v>
      </x:c>
      <x:c r="B84" s="11" t="n">
        <x:v>0</x:v>
      </x:c>
      <x:c r="C84" s="11" t="n">
        <x:v>0</x:v>
      </x:c>
      <x:c r="D84" s="11" t="n">
        <x:v>0</x:v>
      </x:c>
      <x:c r="E84" s="15" t="n">
        <x:v>0</x:v>
      </x:c>
      <x:c r="F84" s="11" t="n">
        <x:f>CHOOSE($B$4,B84,C84,D84,E84)</x:f>
        <x:v>0</x:v>
      </x:c>
      <x:c r="G84" s="1"/>
      <x:c r="H84" s="1"/>
    </x:row>
    <x:row r="85" ht="22" customHeight="1">
      <x:c r="A85" s="1"/>
      <x:c r="B85" s="1"/>
      <x:c r="C85" s="1"/>
      <x:c r="D85" s="1"/>
      <x:c r="E85" s="1"/>
      <x:c r="F85" s="1"/>
      <x:c r="G85" s="1"/>
      <x:c r="H85" s="1"/>
    </x:row>
    <x:row r="86" ht="22" customHeight="1">
      <x:c r="A86" s="1"/>
      <x:c r="B86" s="1"/>
      <x:c r="C86" s="1"/>
      <x:c r="D86" s="1"/>
      <x:c r="E86" s="1"/>
      <x:c r="F86" s="1"/>
      <x:c r="G86" s="1"/>
      <x:c r="H86" s="1"/>
    </x:row>
    <x:row r="87" ht="22" customHeight="1">
      <x:c r="A87" s="1"/>
      <x:c r="B87" s="1"/>
      <x:c r="C87" s="1"/>
      <x:c r="D87" s="1"/>
      <x:c r="E87" s="1"/>
      <x:c r="F87" s="1"/>
      <x:c r="G87" s="1"/>
      <x:c r="H87" s="1"/>
    </x:row>
    <x:row r="88" ht="22" customHeight="1">
      <x:c r="A88" s="1"/>
      <x:c r="B88" s="1"/>
      <x:c r="C88" s="1"/>
      <x:c r="D88" s="1"/>
      <x:c r="E88" s="1"/>
      <x:c r="F88" s="1"/>
      <x:c r="G88" s="1"/>
      <x:c r="H88" s="1"/>
    </x:row>
    <x:row r="89" ht="22" customHeight="1">
      <x:c r="A89" s="1"/>
      <x:c r="B89" s="1"/>
      <x:c r="C89" s="1"/>
      <x:c r="D89" s="1"/>
      <x:c r="E89" s="1"/>
      <x:c r="F89" s="1"/>
      <x:c r="G89" s="1"/>
      <x:c r="H89" s="1"/>
    </x:row>
    <x:row r="90" ht="22" customHeight="1">
      <x:c r="A90" s="1"/>
      <x:c r="B90" s="1"/>
      <x:c r="C90" s="1"/>
      <x:c r="D90" s="1"/>
      <x:c r="E90" s="1"/>
      <x:c r="F90" s="1"/>
      <x:c r="G90" s="1"/>
      <x:c r="H90" s="1"/>
    </x:row>
    <x:row r="91" ht="22" customHeight="1">
      <x:c r="A91" s="1"/>
      <x:c r="B91" s="1"/>
      <x:c r="C91" s="1"/>
      <x:c r="D91" s="1"/>
      <x:c r="E91" s="1"/>
      <x:c r="F91" s="1"/>
      <x:c r="G91" s="1"/>
      <x:c r="H91" s="1"/>
    </x:row>
    <x:row r="92" ht="22" customHeight="1">
      <x:c r="A92" s="1"/>
      <x:c r="B92" s="1"/>
      <x:c r="C92" s="1"/>
      <x:c r="D92" s="1"/>
      <x:c r="E92" s="1"/>
      <x:c r="F92" s="1"/>
      <x:c r="G92" s="1"/>
      <x:c r="H92" s="1"/>
    </x:row>
    <x:row r="93" ht="22" customHeight="1">
      <x:c r="A93" s="1"/>
      <x:c r="B93" s="1"/>
      <x:c r="C93" s="1"/>
      <x:c r="D93" s="1"/>
      <x:c r="E93" s="1"/>
      <x:c r="F93" s="1"/>
      <x:c r="G93" s="1"/>
      <x:c r="H93" s="1"/>
    </x:row>
    <x:row r="94" ht="22" customHeight="1">
      <x:c r="A94" s="1"/>
      <x:c r="B94" s="1"/>
      <x:c r="C94" s="1"/>
      <x:c r="D94" s="1"/>
      <x:c r="E94" s="1"/>
      <x:c r="F94" s="1"/>
      <x:c r="G94" s="1"/>
      <x:c r="H94" s="1"/>
    </x:row>
    <x:row r="95" ht="22" customHeight="1">
      <x:c r="A95" s="1"/>
      <x:c r="B95" s="1"/>
      <x:c r="C95" s="1"/>
      <x:c r="D95" s="1"/>
      <x:c r="E95" s="1"/>
      <x:c r="F95" s="1"/>
      <x:c r="G95" s="1"/>
      <x:c r="H95" s="1"/>
    </x:row>
    <x:row r="96" ht="22" customHeight="1">
      <x:c r="A96" s="1"/>
      <x:c r="B96" s="1"/>
      <x:c r="C96" s="1"/>
      <x:c r="D96" s="1"/>
      <x:c r="E96" s="1"/>
      <x:c r="F96" s="1"/>
      <x:c r="G96" s="1"/>
      <x:c r="H96" s="1"/>
    </x:row>
    <x:row r="97" ht="22" customHeight="1">
      <x:c r="A97" s="1"/>
      <x:c r="B97" s="1"/>
      <x:c r="C97" s="1"/>
      <x:c r="D97" s="1"/>
      <x:c r="E97" s="1"/>
      <x:c r="F97" s="1"/>
      <x:c r="G97" s="1"/>
      <x:c r="H97" s="1"/>
    </x:row>
    <x:row r="98" ht="22" customHeight="1">
      <x:c r="A98" s="1"/>
      <x:c r="B98" s="1"/>
      <x:c r="C98" s="1"/>
      <x:c r="D98" s="1"/>
      <x:c r="E98" s="1"/>
      <x:c r="F98" s="1"/>
      <x:c r="G98" s="1"/>
      <x:c r="H98" s="1"/>
    </x:row>
    <x:row r="99" ht="22" customHeight="1">
      <x:c r="A99" s="1"/>
      <x:c r="B99" s="1"/>
      <x:c r="C99" s="1"/>
      <x:c r="D99" s="1"/>
      <x:c r="E99" s="1"/>
      <x:c r="F99" s="1"/>
      <x:c r="G99" s="1"/>
      <x:c r="H99" s="1"/>
    </x:row>
    <x:row r="100" ht="22" customHeight="1">
      <x:c r="A100" s="1"/>
      <x:c r="B100" s="1"/>
      <x:c r="C100" s="1"/>
      <x:c r="D100" s="1"/>
      <x:c r="E100" s="1"/>
      <x:c r="F100" s="1"/>
      <x:c r="G100" s="1"/>
      <x:c r="H100" s="1"/>
    </x:row>
  </x:sheetData>
  <x:mergeCells>
    <x:mergeCell ref="A1:F1"/>
  </x:mergeCells>
  <x:dataValidations count="1">
    <x:dataValidation type="whole" operator="between" sqref="B4">
      <x:formula1>1</x:formula1>
      <x:formula2>4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6" hidden="0" customWidth="1"/>
    <x:col min="8" max="8" width="26" hidden="0" customWidth="1"/>
  </x:cols>
  <x:sheetData>
    <x:row r="1" ht="34" customHeight="1">
      <x:c r="A1" s="3" t="str">
        <x:v>Active operating / ownership forecast</x:v>
      </x:c>
      <x:c r="B1" s="3"/>
      <x:c r="C1" s="3"/>
      <x:c r="D1" s="3"/>
      <x:c r="E1" s="3"/>
      <x:c r="F1" s="3"/>
      <x:c r="G1" s="1"/>
      <x:c r="H1" s="1"/>
    </x:row>
    <x:row r="2" ht="22" customHeight="1">
      <x:c r="A2" s="1"/>
      <x:c r="B2" s="1"/>
      <x:c r="C2" s="1"/>
      <x:c r="D2" s="1"/>
      <x:c r="E2" s="1"/>
      <x:c r="F2" s="1"/>
      <x:c r="G2" s="1"/>
      <x:c r="H2" s="1"/>
    </x:row>
    <x:row r="3" ht="22" customHeight="1">
      <x:c r="A3" s="1"/>
      <x:c r="B3" s="1"/>
      <x:c r="C3" s="1"/>
      <x:c r="D3" s="1"/>
      <x:c r="E3" s="1"/>
      <x:c r="F3" s="1"/>
      <x:c r="G3" s="1"/>
      <x:c r="H3" s="1"/>
    </x:row>
    <x:row r="4" ht="22" customHeight="1">
      <x:c r="A4" s="1" t="str">
        <x:v>Forecast date</x:v>
      </x:c>
      <x:c r="B4" s="10" t="n">
        <x:v>46666</x:v>
      </x:c>
      <x:c r="C4" s="10" t="n">
        <x:v>47032</x:v>
      </x:c>
      <x:c r="D4" s="10" t="n">
        <x:v>47397</x:v>
      </x:c>
      <x:c r="E4" s="10" t="n">
        <x:v>47762</x:v>
      </x:c>
      <x:c r="F4" s="10" t="n">
        <x:v>48127</x:v>
      </x:c>
      <x:c r="G4" s="1"/>
      <x:c r="H4" s="1"/>
    </x:row>
    <x:row r="5" ht="22" customHeight="1">
      <x:c r="A5" s="1" t="str">
        <x:v>Period fraction (actual / 365)</x:v>
      </x:c>
      <x:c r="B5" s="12" t="n">
        <x:f>(B4-'Assumptions'!B11)/365</x:f>
        <x:v>1</x:v>
      </x:c>
      <x:c r="C5" s="12" t="n">
        <x:f>(C4-B4)/365</x:f>
        <x:v>1.0027397260273974</x:v>
      </x:c>
      <x:c r="D5" s="12" t="n">
        <x:f>(D4-C4)/365</x:f>
        <x:v>1</x:v>
      </x:c>
      <x:c r="E5" s="12" t="n">
        <x:f>(E4-D4)/365</x:f>
        <x:v>1</x:v>
      </x:c>
      <x:c r="F5" s="12" t="n">
        <x:f>(F4-E4)/365</x:f>
        <x:v>1</x:v>
      </x:c>
      <x:c r="G5" s="1"/>
      <x:c r="H5" s="1"/>
    </x:row>
    <x:row r="6" ht="22" customHeight="1">
      <x:c r="A6" s="1" t="str">
        <x:v>Years from valuation date</x:v>
      </x:c>
      <x:c r="B6" s="12" t="n">
        <x:f>(B4-'Assumptions'!B11)/365</x:f>
        <x:v>1</x:v>
      </x:c>
      <x:c r="C6" s="12" t="n">
        <x:f>(C4-'Assumptions'!B11)/365</x:f>
        <x:v>2.0027397260273974</x:v>
      </x:c>
      <x:c r="D6" s="12" t="n">
        <x:f>(D4-'Assumptions'!B11)/365</x:f>
        <x:v>3.0027397260273974</x:v>
      </x:c>
      <x:c r="E6" s="12" t="n">
        <x:f>(E4-'Assumptions'!B11)/365</x:f>
        <x:v>4.002739726027397</x:v>
      </x:c>
      <x:c r="F6" s="12" t="n">
        <x:f>(F4-'Assumptions'!B11)/365</x:f>
        <x:v>5.002739726027397</x:v>
      </x:c>
      <x:c r="G6" s="1"/>
      <x:c r="H6" s="1"/>
    </x:row>
    <x:row r="7" ht="22" customHeight="1">
      <x:c r="A7" s="1"/>
      <x:c r="B7" s="12"/>
      <x:c r="C7" s="12"/>
      <x:c r="D7" s="12"/>
      <x:c r="E7" s="12"/>
      <x:c r="F7" s="12"/>
      <x:c r="G7" s="1"/>
      <x:c r="H7" s="1"/>
    </x:row>
    <x:row r="8" ht="22" customHeight="1">
      <x:c r="A8" s="1" t="str">
        <x:v>Opening annual revenue</x:v>
      </x:c>
      <x:c r="B8" s="12" t="n">
        <x:f>'Assumptions'!B6</x:f>
        <x:v>6829.123999999999</x:v>
      </x:c>
      <x:c r="C8" s="12" t="n">
        <x:f>B9</x:f>
        <x:v>8536.404999999999</x:v>
      </x:c>
      <x:c r="D8" s="12" t="n">
        <x:f>C9</x:f>
        <x:v>10248.804113181277</x:v>
      </x:c>
      <x:c r="E8" s="12" t="n">
        <x:f>D9</x:f>
        <x:v>11786.124730158468</x:v>
      </x:c>
      <x:c r="F8" s="12" t="n">
        <x:f>E9</x:f>
        <x:v>13200.459697777485</x:v>
      </x:c>
      <x:c r="G8" s="1"/>
      <x:c r="H8" s="1"/>
    </x:row>
    <x:row r="9" ht="22" customHeight="1">
      <x:c r="A9" s="1" t="str">
        <x:v>Closing annual revenue</x:v>
      </x:c>
      <x:c r="B9" s="12" t="n">
        <x:f>B8*(1+'Assumptions'!F20)^B5</x:f>
        <x:v>8536.404999999999</x:v>
      </x:c>
      <x:c r="C9" s="12" t="n">
        <x:f>C8*(1+'Assumptions'!F21)^C5</x:f>
        <x:v>10248.804113181277</x:v>
      </x:c>
      <x:c r="D9" s="12" t="n">
        <x:f>D8*(1+'Assumptions'!F22)^D5</x:f>
        <x:v>11786.124730158468</x:v>
      </x:c>
      <x:c r="E9" s="12" t="n">
        <x:f>E8*(1+'Assumptions'!F23)^E5</x:f>
        <x:v>13200.459697777485</x:v>
      </x:c>
      <x:c r="F9" s="12" t="n">
        <x:f>F8*(1+'Assumptions'!F24)^F5</x:f>
        <x:v>14256.496473599685</x:v>
      </x:c>
      <x:c r="G9" s="1"/>
      <x:c r="H9" s="1"/>
    </x:row>
    <x:row r="10" ht="22" customHeight="1">
      <x:c r="A10" s="1" t="str">
        <x:v>EBIT margin after economic SBC</x:v>
      </x:c>
      <x:c r="B10" s="11" t="n">
        <x:f>'Assumptions'!F25</x:f>
        <x:v>0.77</x:v>
      </x:c>
      <x:c r="C10" s="11" t="n">
        <x:f>'Assumptions'!F26</x:f>
        <x:v>0.77</x:v>
      </x:c>
      <x:c r="D10" s="11" t="n">
        <x:f>'Assumptions'!F27</x:f>
        <x:v>0.76</x:v>
      </x:c>
      <x:c r="E10" s="11" t="n">
        <x:f>'Assumptions'!F28</x:f>
        <x:v>0.76</x:v>
      </x:c>
      <x:c r="F10" s="11" t="n">
        <x:f>'Assumptions'!F29</x:f>
        <x:v>0.75</x:v>
      </x:c>
      <x:c r="G10" s="1"/>
      <x:c r="H10" s="1"/>
    </x:row>
    <x:row r="11" ht="22" customHeight="1">
      <x:c r="A11" s="1" t="str">
        <x:v>EBIT for period</x:v>
      </x:c>
      <x:c r="B11" s="12" t="n">
        <x:f>B9*B10*B5</x:f>
        <x:v>6573.031849999999</x:v>
      </x:c>
      <x:c r="C11" s="12" t="n">
        <x:f>C9*C10*C5</x:f>
        <x:v>7913.19993199109</x:v>
      </x:c>
      <x:c r="D11" s="12" t="n">
        <x:f>D9*D10*D5</x:f>
        <x:v>8957.454794920435</x:v>
      </x:c>
      <x:c r="E11" s="12" t="n">
        <x:f>E9*E10*E5</x:f>
        <x:v>10032.349370310889</x:v>
      </x:c>
      <x:c r="F11" s="12" t="n">
        <x:f>F9*F10*F5</x:f>
        <x:v>10692.372355199765</x:v>
      </x:c>
      <x:c r="G11" s="1"/>
      <x:c r="H11" s="1"/>
    </x:row>
    <x:row r="12" ht="22" customHeight="1">
      <x:c r="A12" s="1" t="str">
        <x:v>Tax rate</x:v>
      </x:c>
      <x:c r="B12" s="11" t="n">
        <x:f>'Assumptions'!F30</x:f>
        <x:v>0.21</x:v>
      </x:c>
      <x:c r="C12" s="11" t="n">
        <x:f>'Assumptions'!F31</x:f>
        <x:v>0.21</x:v>
      </x:c>
      <x:c r="D12" s="11" t="n">
        <x:f>'Assumptions'!F32</x:f>
        <x:v>0.21</x:v>
      </x:c>
      <x:c r="E12" s="11" t="n">
        <x:f>'Assumptions'!F33</x:f>
        <x:v>0.21</x:v>
      </x:c>
      <x:c r="F12" s="11" t="n">
        <x:f>'Assumptions'!F34</x:f>
        <x:v>0.21</x:v>
      </x:c>
      <x:c r="G12" s="1"/>
      <x:c r="H12" s="1"/>
    </x:row>
    <x:row r="13" ht="22" customHeight="1">
      <x:c r="A13" s="1" t="str">
        <x:v>Interest for period</x:v>
      </x:c>
      <x:c r="B13" s="12" t="n">
        <x:f>'Assumptions'!F50*B5</x:f>
        <x:v>204.63</x:v>
      </x:c>
      <x:c r="C13" s="12" t="n">
        <x:f>'Assumptions'!F51*C5</x:f>
        <x:v>205.19063013698633</x:v>
      </x:c>
      <x:c r="D13" s="12" t="n">
        <x:f>'Assumptions'!F52*D5</x:f>
        <x:v>204.63</x:v>
      </x:c>
      <x:c r="E13" s="12" t="n">
        <x:f>'Assumptions'!F53*E5</x:f>
        <x:v>204.63</x:v>
      </x:c>
      <x:c r="F13" s="12" t="n">
        <x:f>'Assumptions'!F54*F5</x:f>
        <x:v>204.63</x:v>
      </x:c>
      <x:c r="G13" s="1"/>
      <x:c r="H13" s="1"/>
    </x:row>
    <x:row r="14" ht="22" customHeight="1">
      <x:c r="A14" s="1" t="str">
        <x:v>After-tax levered profit</x:v>
      </x:c>
      <x:c r="B14" s="12" t="n">
        <x:f>(B11-B13)*(1-B12)</x:f>
        <x:v>5031.0374615</x:v>
      </x:c>
      <x:c r="C14" s="12" t="n">
        <x:f>(C11-C13)*(1-C12)</x:f>
        <x:v>6089.3273484647425</x:v>
      </x:c>
      <x:c r="D14" s="12" t="n">
        <x:f>(D11-D13)*(1-D12)</x:f>
        <x:v>6914.731587987145</x:v>
      </x:c>
      <x:c r="E14" s="12" t="n">
        <x:f>(E11-E13)*(1-E12)</x:f>
        <x:v>7763.898302545603</x:v>
      </x:c>
      <x:c r="F14" s="12" t="n">
        <x:f>(F11-F13)*(1-F12)</x:f>
        <x:v>8285.316460607815</x:v>
      </x:c>
      <x:c r="G14" s="1"/>
      <x:c r="H14" s="1"/>
    </x:row>
    <x:row r="15" ht="22" customHeight="1">
      <x:c r="A15" s="1" t="str">
        <x:v>Cash DA add-back</x:v>
      </x:c>
      <x:c r="B15" s="12" t="n">
        <x:f>B9*'Assumptions'!F35*B5</x:f>
        <x:v>119.50966999999999</x:v>
      </x:c>
      <x:c r="C15" s="12" t="n">
        <x:f>C9*'Assumptions'!F36*C5</x:f>
        <x:v>143.876362399838</x:v>
      </x:c>
      <x:c r="D15" s="12" t="n">
        <x:f>D9*'Assumptions'!F37*D5</x:f>
        <x:v>165.00574622221856</x:v>
      </x:c>
      <x:c r="E15" s="12" t="n">
        <x:f>E9*'Assumptions'!F38*E5</x:f>
        <x:v>184.8064357688848</x:v>
      </x:c>
      <x:c r="F15" s="12" t="n">
        <x:f>F9*'Assumptions'!F39*F5</x:f>
        <x:v>199.5909506303956</x:v>
      </x:c>
      <x:c r="G15" s="1"/>
      <x:c r="H15" s="1"/>
    </x:row>
    <x:row r="16" ht="22" customHeight="1">
      <x:c r="A16" s="1" t="str">
        <x:v>Capital expenditure</x:v>
      </x:c>
      <x:c r="B16" s="12" t="n">
        <x:f>B9*'Assumptions'!F40*B5</x:f>
        <x:v>85.36404999999999</x:v>
      </x:c>
      <x:c r="C16" s="12" t="n">
        <x:f>C9*'Assumptions'!F41*C5</x:f>
        <x:v>102.76883028559858</x:v>
      </x:c>
      <x:c r="D16" s="12" t="n">
        <x:f>D9*'Assumptions'!F42*D5</x:f>
        <x:v>117.86124730158468</x:v>
      </x:c>
      <x:c r="E16" s="12" t="n">
        <x:f>E9*'Assumptions'!F43*E5</x:f>
        <x:v>132.00459697777487</x:v>
      </x:c>
      <x:c r="F16" s="12" t="n">
        <x:f>F9*'Assumptions'!F44*F5</x:f>
        <x:v>142.56496473599685</x:v>
      </x:c>
      <x:c r="G16" s="1"/>
      <x:c r="H16" s="1"/>
    </x:row>
    <x:row r="17" ht="22" customHeight="1">
      <x:c r="A17" s="1" t="str">
        <x:v>Incremental working capital</x:v>
      </x:c>
      <x:c r="B17" s="12" t="n">
        <x:f>(B9-B8)*'Assumptions'!F45</x:f>
        <x:v>204.87372</x:v>
      </x:c>
      <x:c r="C17" s="12" t="n">
        <x:f>(C9-C8)*'Assumptions'!F46</x:f>
        <x:v>205.48789358175338</x:v>
      </x:c>
      <x:c r="D17" s="12" t="n">
        <x:f>(D9-D8)*'Assumptions'!F47</x:f>
        <x:v>184.4784740372629</x:v>
      </x:c>
      <x:c r="E17" s="12" t="n">
        <x:f>(E9-E8)*'Assumptions'!F48</x:f>
        <x:v>169.72019611428206</x:v>
      </x:c>
      <x:c r="F17" s="12" t="n">
        <x:f>(F9-F8)*'Assumptions'!F49</x:f>
        <x:v>126.724413098664</x:v>
      </x:c>
      <x:c r="G17" s="1"/>
      <x:c r="H17" s="1"/>
    </x:row>
    <x:row r="18" ht="22" customHeight="1">
      <x:c r="A18" s="1" t="str">
        <x:v>Net borrowing for period</x:v>
      </x:c>
      <x:c r="B18" s="12" t="n">
        <x:f>'Assumptions'!F55*B5</x:f>
        <x:v>0</x:v>
      </x:c>
      <x:c r="C18" s="12" t="n">
        <x:f>'Assumptions'!F56*C5</x:f>
        <x:v>0</x:v>
      </x:c>
      <x:c r="D18" s="12" t="n">
        <x:f>'Assumptions'!F57*D5</x:f>
        <x:v>0</x:v>
      </x:c>
      <x:c r="E18" s="12" t="n">
        <x:f>'Assumptions'!F58*E5</x:f>
        <x:v>0</x:v>
      </x:c>
      <x:c r="F18" s="12" t="n">
        <x:f>'Assumptions'!F59*F5</x:f>
        <x:v>0</x:v>
      </x:c>
      <x:c r="G18" s="1"/>
      <x:c r="H18" s="1"/>
    </x:row>
    <x:row r="19" ht="22" customHeight="1">
      <x:c r="A19" s="6" t="str">
        <x:v>FCFE after financing</x:v>
      </x:c>
      <x:c r="B19" s="19" t="n">
        <x:f>B14+B15-B16-B17+B18</x:f>
        <x:v>4860.309361500001</x:v>
      </x:c>
      <x:c r="C19" s="19" t="n">
        <x:f>C14+C15-C16-C17+C18</x:f>
        <x:v>5924.946986997229</x:v>
      </x:c>
      <x:c r="D19" s="19" t="n">
        <x:f>D14+D15-D16-D17+D18</x:f>
        <x:v>6777.397612870516</x:v>
      </x:c>
      <x:c r="E19" s="19" t="n">
        <x:f>E14+E15-E16-E17+E18</x:f>
        <x:v>7646.979945222431</x:v>
      </x:c>
      <x:c r="F19" s="19" t="n">
        <x:f>F14+F15-F16-F17+F18</x:f>
        <x:v>8215.61803340355</x:v>
      </x:c>
      <x:c r="G19" s="1"/>
      <x:c r="H19" s="1"/>
    </x:row>
    <x:row r="20" ht="22" customHeight="1">
      <x:c r="A20" s="1"/>
      <x:c r="B20" s="12"/>
      <x:c r="C20" s="12"/>
      <x:c r="D20" s="12"/>
      <x:c r="E20" s="12"/>
      <x:c r="F20" s="12"/>
      <x:c r="G20" s="1"/>
      <x:c r="H20" s="1"/>
    </x:row>
    <x:row r="21" ht="22" customHeight="1">
      <x:c r="A21" s="1" t="str">
        <x:v>Opening diluted ownership</x:v>
      </x:c>
      <x:c r="B21" s="12" t="n">
        <x:f>'Assumptions'!B7</x:f>
        <x:v>336.629</x:v>
      </x:c>
      <x:c r="C21" s="12" t="n">
        <x:f>B28</x:f>
        <x:v>336.629</x:v>
      </x:c>
      <x:c r="D21" s="12" t="n">
        <x:f>C28</x:f>
        <x:v>336.629</x:v>
      </x:c>
      <x:c r="E21" s="12" t="n">
        <x:f>D28</x:f>
        <x:v>336.629</x:v>
      </x:c>
      <x:c r="F21" s="12" t="n">
        <x:f>E28</x:f>
        <x:v>336.629</x:v>
      </x:c>
      <x:c r="G21" s="1"/>
      <x:c r="H21" s="1"/>
    </x:row>
    <x:row r="22" ht="22" customHeight="1">
      <x:c r="A22" s="1" t="str">
        <x:v>Dividend payout fraction</x:v>
      </x:c>
      <x:c r="B22" s="11" t="n">
        <x:f>'Assumptions'!F60</x:f>
        <x:v>0</x:v>
      </x:c>
      <x:c r="C22" s="11" t="n">
        <x:f>'Assumptions'!F61</x:f>
        <x:v>0</x:v>
      </x:c>
      <x:c r="D22" s="11" t="n">
        <x:f>'Assumptions'!F62</x:f>
        <x:v>0</x:v>
      </x:c>
      <x:c r="E22" s="11" t="n">
        <x:f>'Assumptions'!F63</x:f>
        <x:v>0</x:v>
      </x:c>
      <x:c r="F22" s="11" t="n">
        <x:f>'Assumptions'!F64</x:f>
        <x:v>0</x:v>
      </x:c>
      <x:c r="G22" s="1"/>
      <x:c r="H22" s="1"/>
    </x:row>
    <x:row r="23" ht="22" customHeight="1">
      <x:c r="A23" s="1" t="str">
        <x:v>Total dividends</x:v>
      </x:c>
      <x:c r="B23" s="12" t="n">
        <x:f>MAX(B19,0)*B22</x:f>
        <x:v>0</x:v>
      </x:c>
      <x:c r="C23" s="12" t="n">
        <x:f>MAX(C19,0)*C22</x:f>
        <x:v>0</x:v>
      </x:c>
      <x:c r="D23" s="12" t="n">
        <x:f>MAX(D19,0)*D22</x:f>
        <x:v>0</x:v>
      </x:c>
      <x:c r="E23" s="12" t="n">
        <x:f>MAX(E19,0)*E22</x:f>
        <x:v>0</x:v>
      </x:c>
      <x:c r="F23" s="12" t="n">
        <x:f>MAX(F19,0)*F22</x:f>
        <x:v>0</x:v>
      </x:c>
      <x:c r="G23" s="1"/>
      <x:c r="H23" s="1"/>
    </x:row>
    <x:row r="24" ht="22" customHeight="1">
      <x:c r="A24" s="1" t="str">
        <x:v>Dividend per opening share</x:v>
      </x:c>
      <x:c r="B24" s="12" t="n">
        <x:f>B23/B21</x:f>
        <x:v>0</x:v>
      </x:c>
      <x:c r="C24" s="12" t="n">
        <x:f>C23/C21</x:f>
        <x:v>0</x:v>
      </x:c>
      <x:c r="D24" s="12" t="n">
        <x:f>D23/D21</x:f>
        <x:v>0</x:v>
      </x:c>
      <x:c r="E24" s="12" t="n">
        <x:f>E23/E21</x:f>
        <x:v>0</x:v>
      </x:c>
      <x:c r="F24" s="12" t="n">
        <x:f>F23/F21</x:f>
        <x:v>0</x:v>
      </x:c>
      <x:c r="G24" s="1"/>
      <x:c r="H24" s="1"/>
    </x:row>
    <x:row r="25" ht="22" customHeight="1">
      <x:c r="A25" s="1" t="str">
        <x:v>Buyback cash</x:v>
      </x:c>
      <x:c r="B25" s="12" t="n">
        <x:f>'Assumptions'!F65</x:f>
        <x:v>0</x:v>
      </x:c>
      <x:c r="C25" s="12" t="n">
        <x:f>'Assumptions'!F66</x:f>
        <x:v>0</x:v>
      </x:c>
      <x:c r="D25" s="12" t="n">
        <x:f>'Assumptions'!F67</x:f>
        <x:v>0</x:v>
      </x:c>
      <x:c r="E25" s="12" t="n">
        <x:f>'Assumptions'!F68</x:f>
        <x:v>0</x:v>
      </x:c>
      <x:c r="F25" s="12" t="n">
        <x:f>'Assumptions'!F69</x:f>
        <x:v>0</x:v>
      </x:c>
      <x:c r="G25" s="1"/>
      <x:c r="H25" s="1"/>
    </x:row>
    <x:row r="26" ht="22" customHeight="1">
      <x:c r="A26" s="1" t="str">
        <x:v>Buyback execution price</x:v>
      </x:c>
      <x:c r="B26" s="12" t="n">
        <x:f>'Assumptions'!F75</x:f>
        <x:v>281.97</x:v>
      </x:c>
      <x:c r="C26" s="12" t="n">
        <x:f>'Assumptions'!F76</x:f>
        <x:v>281.97</x:v>
      </x:c>
      <x:c r="D26" s="12" t="n">
        <x:f>'Assumptions'!F77</x:f>
        <x:v>281.97</x:v>
      </x:c>
      <x:c r="E26" s="12" t="n">
        <x:f>'Assumptions'!F78</x:f>
        <x:v>281.97</x:v>
      </x:c>
      <x:c r="F26" s="12" t="n">
        <x:f>'Assumptions'!F79</x:f>
        <x:v>281.97</x:v>
      </x:c>
      <x:c r="G26" s="1"/>
      <x:c r="H26" s="1"/>
    </x:row>
    <x:row r="27" ht="22" customHeight="1">
      <x:c r="A27" s="1" t="str">
        <x:v>Separate gross dilution</x:v>
      </x:c>
      <x:c r="B27" s="11" t="n">
        <x:f>'Assumptions'!F70</x:f>
        <x:v>0</x:v>
      </x:c>
      <x:c r="C27" s="11" t="n">
        <x:f>'Assumptions'!F71</x:f>
        <x:v>0</x:v>
      </x:c>
      <x:c r="D27" s="11" t="n">
        <x:f>'Assumptions'!F72</x:f>
        <x:v>0</x:v>
      </x:c>
      <x:c r="E27" s="11" t="n">
        <x:f>'Assumptions'!F73</x:f>
        <x:v>0</x:v>
      </x:c>
      <x:c r="F27" s="11" t="n">
        <x:f>'Assumptions'!F74</x:f>
        <x:v>0</x:v>
      </x:c>
      <x:c r="G27" s="1"/>
      <x:c r="H27" s="1"/>
    </x:row>
    <x:row r="28" ht="22" customHeight="1">
      <x:c r="A28" s="6" t="str">
        <x:v>Closing diluted ownership</x:v>
      </x:c>
      <x:c r="B28" s="19" t="n">
        <x:f>B21*(1+B27)^B5-B25/B26</x:f>
        <x:v>336.629</x:v>
      </x:c>
      <x:c r="C28" s="19" t="n">
        <x:f>C21*(1+C27)^C5-C25/C26</x:f>
        <x:v>336.629</x:v>
      </x:c>
      <x:c r="D28" s="19" t="n">
        <x:f>D21*(1+D27)^D5-D25/D26</x:f>
        <x:v>336.629</x:v>
      </x:c>
      <x:c r="E28" s="19" t="n">
        <x:f>E21*(1+E27)^E5-E25/E26</x:f>
        <x:v>336.629</x:v>
      </x:c>
      <x:c r="F28" s="19" t="n">
        <x:f>F21*(1+F27)^F5-F25/F26</x:f>
        <x:v>336.629</x:v>
      </x:c>
      <x:c r="G28" s="1"/>
      <x:c r="H28" s="1"/>
    </x:row>
    <x:row r="29" ht="22" customHeight="1">
      <x:c r="A29" s="1"/>
      <x:c r="B29" s="12"/>
      <x:c r="C29" s="12"/>
      <x:c r="D29" s="12"/>
      <x:c r="E29" s="12"/>
      <x:c r="F29" s="12"/>
      <x:c r="G29" s="1"/>
      <x:c r="H29" s="1"/>
    </x:row>
    <x:row r="30" ht="22" customHeight="1">
      <x:c r="A30" s="1" t="str">
        <x:v>Opening excess cash</x:v>
      </x:c>
      <x:c r="B30" s="12" t="n">
        <x:f>'Assumptions'!B8</x:f>
        <x:v>2053.306</x:v>
      </x:c>
      <x:c r="C30" s="12" t="n">
        <x:f>B32</x:f>
        <x:v>6913.6153615</x:v>
      </x:c>
      <x:c r="D30" s="12" t="n">
        <x:f>C32</x:f>
        <x:v>12838.56234849723</x:v>
      </x:c>
      <x:c r="E30" s="12" t="n">
        <x:f>D32</x:f>
        <x:v>19615.959961367746</x:v>
      </x:c>
      <x:c r="F30" s="12" t="n">
        <x:f>E32</x:f>
        <x:v>27262.939906590174</x:v>
      </x:c>
      <x:c r="G30" s="1"/>
      <x:c r="H30" s="1"/>
    </x:row>
    <x:row r="31" ht="22" customHeight="1">
      <x:c r="A31" s="1" t="str">
        <x:v>Treasury cash yield</x:v>
      </x:c>
      <x:c r="B31" s="11" t="n">
        <x:f>'Assumptions'!F80</x:f>
        <x:v>0</x:v>
      </x:c>
      <x:c r="C31" s="11" t="n">
        <x:f>'Assumptions'!F81</x:f>
        <x:v>0</x:v>
      </x:c>
      <x:c r="D31" s="11" t="n">
        <x:f>'Assumptions'!F82</x:f>
        <x:v>0</x:v>
      </x:c>
      <x:c r="E31" s="11" t="n">
        <x:f>'Assumptions'!F83</x:f>
        <x:v>0</x:v>
      </x:c>
      <x:c r="F31" s="11" t="n">
        <x:f>'Assumptions'!F84</x:f>
        <x:v>0</x:v>
      </x:c>
      <x:c r="G31" s="1"/>
      <x:c r="H31" s="1"/>
    </x:row>
    <x:row r="32" ht="22" customHeight="1">
      <x:c r="A32" s="6" t="str">
        <x:v>Closing excess cash</x:v>
      </x:c>
      <x:c r="B32" s="19" t="n">
        <x:f>B30*(1+B31)^B5+B19-B23-B25</x:f>
        <x:v>6913.6153615</x:v>
      </x:c>
      <x:c r="C32" s="19" t="n">
        <x:f>C30*(1+C31)^C5+C19-C23-C25</x:f>
        <x:v>12838.56234849723</x:v>
      </x:c>
      <x:c r="D32" s="19" t="n">
        <x:f>D30*(1+D31)^D5+D19-D23-D25</x:f>
        <x:v>19615.959961367746</x:v>
      </x:c>
      <x:c r="E32" s="19" t="n">
        <x:f>E30*(1+E31)^E5+E19-E23-E25</x:f>
        <x:v>27262.939906590174</x:v>
      </x:c>
      <x:c r="F32" s="19" t="n">
        <x:f>F30*(1+F31)^F5+F19-F23-F25</x:f>
        <x:v>35478.55793999373</x:v>
      </x:c>
      <x:c r="G32" s="1"/>
      <x:c r="H32" s="1"/>
    </x:row>
    <x:row r="33" ht="22" customHeight="1">
      <x:c r="A33" s="1"/>
      <x:c r="B33" s="12"/>
      <x:c r="C33" s="12"/>
      <x:c r="D33" s="12"/>
      <x:c r="E33" s="12"/>
      <x:c r="F33" s="12"/>
      <x:c r="G33" s="1"/>
      <x:c r="H33" s="1"/>
    </x:row>
    <x:row r="34" ht="22" customHeight="1">
      <x:c r="A34" s="6" t="str">
        <x:v>Holder receipt incl. exit at Y5</x:v>
      </x:c>
      <x:c r="B34" s="19" t="n">
        <x:f>B24</x:f>
        <x:v>0</x:v>
      </x:c>
      <x:c r="C34" s="19" t="n">
        <x:f>C24</x:f>
        <x:v>0</x:v>
      </x:c>
      <x:c r="D34" s="19" t="n">
        <x:f>D24</x:f>
        <x:v>0</x:v>
      </x:c>
      <x:c r="E34" s="19" t="n">
        <x:f>E24</x:f>
        <x:v>0</x:v>
      </x:c>
      <x:c r="F34" s="19" t="n">
        <x:f>IF(ISNUMBER('Outputs'!B7),F24+'Outputs'!B7,"WITHHELD")</x:f>
        <x:v>422.7362949564587</x:v>
      </x:c>
      <x:c r="G34" s="1"/>
      <x:c r="H34" s="1"/>
    </x:row>
    <x:row r="35" ht="22" customHeight="1">
      <x:c r="A35" s="6" t="str">
        <x:v>PV of receipt at equity cost</x:v>
      </x:c>
      <x:c r="B35" s="19" t="n">
        <x:f>IF(ISNUMBER(B34),B34/(1+'Assumptions'!B12)^B6,"WITHHELD")</x:f>
        <x:v>0</x:v>
      </x:c>
      <x:c r="C35" s="19" t="n">
        <x:f>IF(ISNUMBER(C34),C34/(1+'Assumptions'!B12)^C6,"WITHHELD")</x:f>
        <x:v>0</x:v>
      </x:c>
      <x:c r="D35" s="19" t="n">
        <x:f>IF(ISNUMBER(D34),D34/(1+'Assumptions'!B12)^D6,"WITHHELD")</x:f>
        <x:v>0</x:v>
      </x:c>
      <x:c r="E35" s="19" t="n">
        <x:f>IF(ISNUMBER(E34),E34/(1+'Assumptions'!B12)^E6,"WITHHELD")</x:f>
        <x:v>0</x:v>
      </x:c>
      <x:c r="F35" s="19" t="n">
        <x:f>IF(ISNUMBER(F34),F34/(1+'Assumptions'!B12)^F6,"WITHHELD")</x:f>
        <x:v>250.80169672613647</x:v>
      </x:c>
      <x:c r="G35" s="1"/>
      <x:c r="H35" s="1"/>
    </x:row>
    <x:row r="36" ht="22" customHeight="1">
      <x:c r="A36" s="1"/>
      <x:c r="B36" s="1"/>
      <x:c r="C36" s="1"/>
      <x:c r="D36" s="1"/>
      <x:c r="E36" s="1"/>
      <x:c r="F36" s="1"/>
      <x:c r="G36" s="1"/>
      <x:c r="H36" s="1"/>
    </x:row>
    <x:row r="37" ht="22" customHeight="1">
      <x:c r="A37" s="1"/>
      <x:c r="B37" s="1"/>
      <x:c r="C37" s="1"/>
      <x:c r="D37" s="1"/>
      <x:c r="E37" s="1"/>
      <x:c r="F37" s="1"/>
      <x:c r="G37" s="1"/>
      <x:c r="H37" s="1"/>
    </x:row>
    <x:row r="38" ht="22" customHeight="1">
      <x:c r="A38" s="1"/>
      <x:c r="B38" s="1"/>
      <x:c r="C38" s="1"/>
      <x:c r="D38" s="1"/>
      <x:c r="E38" s="1"/>
      <x:c r="F38" s="1"/>
      <x:c r="G38" s="1"/>
      <x:c r="H38" s="1"/>
    </x:row>
    <x:row r="39" ht="22" customHeight="1">
      <x:c r="A39" s="1"/>
      <x:c r="B39" s="1"/>
      <x:c r="C39" s="1"/>
      <x:c r="D39" s="1"/>
      <x:c r="E39" s="1"/>
      <x:c r="F39" s="1"/>
      <x:c r="G39" s="1"/>
      <x:c r="H39" s="1"/>
    </x:row>
    <x:row r="40" ht="22" customHeight="1">
      <x:c r="A40" s="1"/>
      <x:c r="B40" s="1"/>
      <x:c r="C40" s="1"/>
      <x:c r="D40" s="1"/>
      <x:c r="E40" s="1"/>
      <x:c r="F40" s="1"/>
      <x:c r="G40" s="1"/>
      <x:c r="H40" s="1"/>
    </x:row>
    <x:row r="41" ht="22" customHeight="1">
      <x:c r="A41" s="1"/>
      <x:c r="B41" s="1"/>
      <x:c r="C41" s="1"/>
      <x:c r="D41" s="1"/>
      <x:c r="E41" s="1"/>
      <x:c r="F41" s="1"/>
      <x:c r="G41" s="1"/>
      <x:c r="H41" s="1"/>
    </x:row>
    <x:row r="42" ht="22" customHeight="1">
      <x:c r="A42" s="1"/>
      <x:c r="B42" s="1"/>
      <x:c r="C42" s="1"/>
      <x:c r="D42" s="1"/>
      <x:c r="E42" s="1"/>
      <x:c r="F42" s="1"/>
      <x:c r="G42" s="1"/>
      <x:c r="H42" s="1"/>
    </x:row>
    <x:row r="43" ht="22" customHeight="1">
      <x:c r="A43" s="1"/>
      <x:c r="B43" s="1"/>
      <x:c r="C43" s="1"/>
      <x:c r="D43" s="1"/>
      <x:c r="E43" s="1"/>
      <x:c r="F43" s="1"/>
      <x:c r="G43" s="1"/>
      <x:c r="H43" s="1"/>
    </x:row>
    <x:row r="44" ht="22" customHeight="1">
      <x:c r="A44" s="1"/>
      <x:c r="B44" s="1"/>
      <x:c r="C44" s="1"/>
      <x:c r="D44" s="1"/>
      <x:c r="E44" s="1"/>
      <x:c r="F44" s="1"/>
      <x:c r="G44" s="1"/>
      <x:c r="H44" s="1"/>
    </x:row>
    <x:row r="45" ht="22" customHeight="1">
      <x:c r="A45" s="1"/>
      <x:c r="B45" s="1"/>
      <x:c r="C45" s="1"/>
      <x:c r="D45" s="1"/>
      <x:c r="E45" s="1"/>
      <x:c r="F45" s="1"/>
      <x:c r="G45" s="1"/>
      <x:c r="H45" s="1"/>
    </x:row>
    <x:row r="46" ht="22" customHeight="1">
      <x:c r="A46" s="1"/>
      <x:c r="B46" s="1"/>
      <x:c r="C46" s="1"/>
      <x:c r="D46" s="1"/>
      <x:c r="E46" s="1"/>
      <x:c r="F46" s="1"/>
      <x:c r="G46" s="1"/>
      <x:c r="H46" s="1"/>
    </x:row>
    <x:row r="47" ht="22" customHeight="1">
      <x:c r="A47" s="1"/>
      <x:c r="B47" s="1"/>
      <x:c r="C47" s="1"/>
      <x:c r="D47" s="1"/>
      <x:c r="E47" s="1"/>
      <x:c r="F47" s="1"/>
      <x:c r="G47" s="1"/>
      <x:c r="H47" s="1"/>
    </x:row>
    <x:row r="48" ht="22" customHeight="1">
      <x:c r="A48" s="1"/>
      <x:c r="B48" s="1"/>
      <x:c r="C48" s="1"/>
      <x:c r="D48" s="1"/>
      <x:c r="E48" s="1"/>
      <x:c r="F48" s="1"/>
      <x:c r="G48" s="1"/>
      <x:c r="H48" s="1"/>
    </x:row>
    <x:row r="49" ht="22" customHeight="1">
      <x:c r="A49" s="1"/>
      <x:c r="B49" s="1"/>
      <x:c r="C49" s="1"/>
      <x:c r="D49" s="1"/>
      <x:c r="E49" s="1"/>
      <x:c r="F49" s="1"/>
      <x:c r="G49" s="1"/>
      <x:c r="H49" s="1"/>
    </x:row>
    <x:row r="50" ht="22" customHeight="1">
      <x:c r="A50" s="1"/>
      <x:c r="B50" s="1"/>
      <x:c r="C50" s="1"/>
      <x:c r="D50" s="1"/>
      <x:c r="E50" s="1"/>
      <x:c r="F50" s="1"/>
      <x:c r="G50" s="1"/>
      <x:c r="H50" s="1"/>
    </x:row>
    <x:row r="51" ht="22" customHeight="1">
      <x:c r="A51" s="1"/>
      <x:c r="B51" s="1"/>
      <x:c r="C51" s="1"/>
      <x:c r="D51" s="1"/>
      <x:c r="E51" s="1"/>
      <x:c r="F51" s="1"/>
      <x:c r="G51" s="1"/>
      <x:c r="H51" s="1"/>
    </x:row>
    <x:row r="52" ht="22" customHeight="1">
      <x:c r="A52" s="1"/>
      <x:c r="B52" s="1"/>
      <x:c r="C52" s="1"/>
      <x:c r="D52" s="1"/>
      <x:c r="E52" s="1"/>
      <x:c r="F52" s="1"/>
      <x:c r="G52" s="1"/>
      <x:c r="H52" s="1"/>
    </x:row>
    <x:row r="53" ht="22" customHeight="1">
      <x:c r="A53" s="1"/>
      <x:c r="B53" s="1"/>
      <x:c r="C53" s="1"/>
      <x:c r="D53" s="1"/>
      <x:c r="E53" s="1"/>
      <x:c r="F53" s="1"/>
      <x:c r="G53" s="1"/>
      <x:c r="H53" s="1"/>
    </x:row>
    <x:row r="54" ht="22" customHeight="1">
      <x:c r="A54" s="1"/>
      <x:c r="B54" s="1"/>
      <x:c r="C54" s="1"/>
      <x:c r="D54" s="1"/>
      <x:c r="E54" s="1"/>
      <x:c r="F54" s="1"/>
      <x:c r="G54" s="1"/>
      <x:c r="H54" s="1"/>
    </x:row>
    <x:row r="55" ht="22" customHeight="1">
      <x:c r="A55" s="1"/>
      <x:c r="B55" s="1"/>
      <x:c r="C55" s="1"/>
      <x:c r="D55" s="1"/>
      <x:c r="E55" s="1"/>
      <x:c r="F55" s="1"/>
      <x:c r="G55" s="1"/>
      <x:c r="H55" s="1"/>
    </x:row>
    <x:row r="56" ht="22" customHeight="1">
      <x:c r="A56" s="1"/>
      <x:c r="B56" s="1"/>
      <x:c r="C56" s="1"/>
      <x:c r="D56" s="1"/>
      <x:c r="E56" s="1"/>
      <x:c r="F56" s="1"/>
      <x:c r="G56" s="1"/>
      <x:c r="H56" s="1"/>
    </x:row>
    <x:row r="57" ht="22" customHeight="1">
      <x:c r="A57" s="1"/>
      <x:c r="B57" s="1"/>
      <x:c r="C57" s="1"/>
      <x:c r="D57" s="1"/>
      <x:c r="E57" s="1"/>
      <x:c r="F57" s="1"/>
      <x:c r="G57" s="1"/>
      <x:c r="H57" s="1"/>
    </x:row>
    <x:row r="58" ht="22" customHeight="1">
      <x:c r="A58" s="1"/>
      <x:c r="B58" s="1"/>
      <x:c r="C58" s="1"/>
      <x:c r="D58" s="1"/>
      <x:c r="E58" s="1"/>
      <x:c r="F58" s="1"/>
      <x:c r="G58" s="1"/>
      <x:c r="H58" s="1"/>
    </x:row>
    <x:row r="59" ht="22" customHeight="1">
      <x:c r="A59" s="1"/>
      <x:c r="B59" s="1"/>
      <x:c r="C59" s="1"/>
      <x:c r="D59" s="1"/>
      <x:c r="E59" s="1"/>
      <x:c r="F59" s="1"/>
      <x:c r="G59" s="1"/>
      <x:c r="H59" s="1"/>
    </x:row>
    <x:row r="60" ht="22" customHeight="1">
      <x:c r="A60" s="1"/>
      <x:c r="B60" s="1"/>
      <x:c r="C60" s="1"/>
      <x:c r="D60" s="1"/>
      <x:c r="E60" s="1"/>
      <x:c r="F60" s="1"/>
      <x:c r="G60" s="1"/>
      <x:c r="H60" s="1"/>
    </x:row>
    <x:row r="61" ht="22" customHeight="1">
      <x:c r="A61" s="1"/>
      <x:c r="B61" s="1"/>
      <x:c r="C61" s="1"/>
      <x:c r="D61" s="1"/>
      <x:c r="E61" s="1"/>
      <x:c r="F61" s="1"/>
      <x:c r="G61" s="1"/>
      <x:c r="H61" s="1"/>
    </x:row>
    <x:row r="62" ht="22" customHeight="1">
      <x:c r="A62" s="1"/>
      <x:c r="B62" s="1"/>
      <x:c r="C62" s="1"/>
      <x:c r="D62" s="1"/>
      <x:c r="E62" s="1"/>
      <x:c r="F62" s="1"/>
      <x:c r="G62" s="1"/>
      <x:c r="H62" s="1"/>
    </x:row>
    <x:row r="63" ht="22" customHeight="1">
      <x:c r="A63" s="1"/>
      <x:c r="B63" s="1"/>
      <x:c r="C63" s="1"/>
      <x:c r="D63" s="1"/>
      <x:c r="E63" s="1"/>
      <x:c r="F63" s="1"/>
      <x:c r="G63" s="1"/>
      <x:c r="H63" s="1"/>
    </x:row>
    <x:row r="64" ht="22" customHeight="1">
      <x:c r="A64" s="1"/>
      <x:c r="B64" s="1"/>
      <x:c r="C64" s="1"/>
      <x:c r="D64" s="1"/>
      <x:c r="E64" s="1"/>
      <x:c r="F64" s="1"/>
      <x:c r="G64" s="1"/>
      <x:c r="H64" s="1"/>
    </x:row>
    <x:row r="65" ht="22" customHeight="1">
      <x:c r="A65" s="1"/>
      <x:c r="B65" s="1"/>
      <x:c r="C65" s="1"/>
      <x:c r="D65" s="1"/>
      <x:c r="E65" s="1"/>
      <x:c r="F65" s="1"/>
      <x:c r="G65" s="1"/>
      <x:c r="H65" s="1"/>
    </x:row>
    <x:row r="66" ht="22" customHeight="1">
      <x:c r="A66" s="1"/>
      <x:c r="B66" s="1"/>
      <x:c r="C66" s="1"/>
      <x:c r="D66" s="1"/>
      <x:c r="E66" s="1"/>
      <x:c r="F66" s="1"/>
      <x:c r="G66" s="1"/>
      <x:c r="H66" s="1"/>
    </x:row>
    <x:row r="67" ht="22" customHeight="1">
      <x:c r="A67" s="1"/>
      <x:c r="B67" s="1"/>
      <x:c r="C67" s="1"/>
      <x:c r="D67" s="1"/>
      <x:c r="E67" s="1"/>
      <x:c r="F67" s="1"/>
      <x:c r="G67" s="1"/>
      <x:c r="H67" s="1"/>
    </x:row>
    <x:row r="68" ht="22" customHeight="1">
      <x:c r="A68" s="1"/>
      <x:c r="B68" s="1"/>
      <x:c r="C68" s="1"/>
      <x:c r="D68" s="1"/>
      <x:c r="E68" s="1"/>
      <x:c r="F68" s="1"/>
      <x:c r="G68" s="1"/>
      <x:c r="H68" s="1"/>
    </x:row>
    <x:row r="69" ht="22" customHeight="1">
      <x:c r="A69" s="1"/>
      <x:c r="B69" s="1"/>
      <x:c r="C69" s="1"/>
      <x:c r="D69" s="1"/>
      <x:c r="E69" s="1"/>
      <x:c r="F69" s="1"/>
      <x:c r="G69" s="1"/>
      <x:c r="H69" s="1"/>
    </x:row>
    <x:row r="70" ht="22" customHeight="1">
      <x:c r="A70" s="1"/>
      <x:c r="B70" s="1"/>
      <x:c r="C70" s="1"/>
      <x:c r="D70" s="1"/>
      <x:c r="E70" s="1"/>
      <x:c r="F70" s="1"/>
      <x:c r="G70" s="1"/>
      <x:c r="H70" s="1"/>
    </x:row>
    <x:row r="71" ht="22" customHeight="1">
      <x:c r="A71" s="1"/>
      <x:c r="B71" s="1"/>
      <x:c r="C71" s="1"/>
      <x:c r="D71" s="1"/>
      <x:c r="E71" s="1"/>
      <x:c r="F71" s="1"/>
      <x:c r="G71" s="1"/>
      <x:c r="H71" s="1"/>
    </x:row>
    <x:row r="72" ht="22" customHeight="1">
      <x:c r="A72" s="1"/>
      <x:c r="B72" s="1"/>
      <x:c r="C72" s="1"/>
      <x:c r="D72" s="1"/>
      <x:c r="E72" s="1"/>
      <x:c r="F72" s="1"/>
      <x:c r="G72" s="1"/>
      <x:c r="H72" s="1"/>
    </x:row>
    <x:row r="73" ht="22" customHeight="1">
      <x:c r="A73" s="1"/>
      <x:c r="B73" s="1"/>
      <x:c r="C73" s="1"/>
      <x:c r="D73" s="1"/>
      <x:c r="E73" s="1"/>
      <x:c r="F73" s="1"/>
      <x:c r="G73" s="1"/>
      <x:c r="H73" s="1"/>
    </x:row>
    <x:row r="74" ht="22" customHeight="1">
      <x:c r="A74" s="1"/>
      <x:c r="B74" s="1"/>
      <x:c r="C74" s="1"/>
      <x:c r="D74" s="1"/>
      <x:c r="E74" s="1"/>
      <x:c r="F74" s="1"/>
      <x:c r="G74" s="1"/>
      <x:c r="H74" s="1"/>
    </x:row>
    <x:row r="75" ht="22" customHeight="1">
      <x:c r="A75" s="1"/>
      <x:c r="B75" s="1"/>
      <x:c r="C75" s="1"/>
      <x:c r="D75" s="1"/>
      <x:c r="E75" s="1"/>
      <x:c r="F75" s="1"/>
      <x:c r="G75" s="1"/>
      <x:c r="H75" s="1"/>
    </x:row>
    <x:row r="76" ht="22" customHeight="1">
      <x:c r="A76" s="1"/>
      <x:c r="B76" s="1"/>
      <x:c r="C76" s="1"/>
      <x:c r="D76" s="1"/>
      <x:c r="E76" s="1"/>
      <x:c r="F76" s="1"/>
      <x:c r="G76" s="1"/>
      <x:c r="H76" s="1"/>
    </x:row>
    <x:row r="77" ht="22" customHeight="1">
      <x:c r="A77" s="1"/>
      <x:c r="B77" s="1"/>
      <x:c r="C77" s="1"/>
      <x:c r="D77" s="1"/>
      <x:c r="E77" s="1"/>
      <x:c r="F77" s="1"/>
      <x:c r="G77" s="1"/>
      <x:c r="H77" s="1"/>
    </x:row>
    <x:row r="78" ht="22" customHeight="1">
      <x:c r="A78" s="1"/>
      <x:c r="B78" s="1"/>
      <x:c r="C78" s="1"/>
      <x:c r="D78" s="1"/>
      <x:c r="E78" s="1"/>
      <x:c r="F78" s="1"/>
      <x:c r="G78" s="1"/>
      <x:c r="H78" s="1"/>
    </x:row>
    <x:row r="79" ht="22" customHeight="1">
      <x:c r="A79" s="1"/>
      <x:c r="B79" s="1"/>
      <x:c r="C79" s="1"/>
      <x:c r="D79" s="1"/>
      <x:c r="E79" s="1"/>
      <x:c r="F79" s="1"/>
      <x:c r="G79" s="1"/>
      <x:c r="H79" s="1"/>
    </x:row>
    <x:row r="80" ht="22" customHeight="1">
      <x:c r="A80" s="1"/>
      <x:c r="B80" s="1"/>
      <x:c r="C80" s="1"/>
      <x:c r="D80" s="1"/>
      <x:c r="E80" s="1"/>
      <x:c r="F80" s="1"/>
      <x:c r="G80" s="1"/>
      <x:c r="H80" s="1"/>
    </x:row>
    <x:row r="81" ht="22" customHeight="1">
      <x:c r="A81" s="1"/>
      <x:c r="B81" s="1"/>
      <x:c r="C81" s="1"/>
      <x:c r="D81" s="1"/>
      <x:c r="E81" s="1"/>
      <x:c r="F81" s="1"/>
      <x:c r="G81" s="1"/>
      <x:c r="H81" s="1"/>
    </x:row>
    <x:row r="82" ht="22" customHeight="1">
      <x:c r="A82" s="1"/>
      <x:c r="B82" s="1"/>
      <x:c r="C82" s="1"/>
      <x:c r="D82" s="1"/>
      <x:c r="E82" s="1"/>
      <x:c r="F82" s="1"/>
      <x:c r="G82" s="1"/>
      <x:c r="H82" s="1"/>
    </x:row>
    <x:row r="83" ht="22" customHeight="1">
      <x:c r="A83" s="1"/>
      <x:c r="B83" s="1"/>
      <x:c r="C83" s="1"/>
      <x:c r="D83" s="1"/>
      <x:c r="E83" s="1"/>
      <x:c r="F83" s="1"/>
      <x:c r="G83" s="1"/>
      <x:c r="H83" s="1"/>
    </x:row>
    <x:row r="84" ht="22" customHeight="1">
      <x:c r="A84" s="1"/>
      <x:c r="B84" s="1"/>
      <x:c r="C84" s="1"/>
      <x:c r="D84" s="1"/>
      <x:c r="E84" s="1"/>
      <x:c r="F84" s="1"/>
      <x:c r="G84" s="1"/>
      <x:c r="H84" s="1"/>
    </x:row>
    <x:row r="85" ht="22" customHeight="1">
      <x:c r="A85" s="1"/>
      <x:c r="B85" s="1"/>
      <x:c r="C85" s="1"/>
      <x:c r="D85" s="1"/>
      <x:c r="E85" s="1"/>
      <x:c r="F85" s="1"/>
      <x:c r="G85" s="1"/>
      <x:c r="H85" s="1"/>
    </x:row>
    <x:row r="86" ht="22" customHeight="1">
      <x:c r="A86" s="1"/>
      <x:c r="B86" s="1"/>
      <x:c r="C86" s="1"/>
      <x:c r="D86" s="1"/>
      <x:c r="E86" s="1"/>
      <x:c r="F86" s="1"/>
      <x:c r="G86" s="1"/>
      <x:c r="H86" s="1"/>
    </x:row>
    <x:row r="87" ht="22" customHeight="1">
      <x:c r="A87" s="1"/>
      <x:c r="B87" s="1"/>
      <x:c r="C87" s="1"/>
      <x:c r="D87" s="1"/>
      <x:c r="E87" s="1"/>
      <x:c r="F87" s="1"/>
      <x:c r="G87" s="1"/>
      <x:c r="H87" s="1"/>
    </x:row>
    <x:row r="88" ht="22" customHeight="1">
      <x:c r="A88" s="1"/>
      <x:c r="B88" s="1"/>
      <x:c r="C88" s="1"/>
      <x:c r="D88" s="1"/>
      <x:c r="E88" s="1"/>
      <x:c r="F88" s="1"/>
      <x:c r="G88" s="1"/>
      <x:c r="H88" s="1"/>
    </x:row>
    <x:row r="89" ht="22" customHeight="1">
      <x:c r="A89" s="1"/>
      <x:c r="B89" s="1"/>
      <x:c r="C89" s="1"/>
      <x:c r="D89" s="1"/>
      <x:c r="E89" s="1"/>
      <x:c r="F89" s="1"/>
      <x:c r="G89" s="1"/>
      <x:c r="H89" s="1"/>
    </x:row>
    <x:row r="90" ht="22" customHeight="1">
      <x:c r="A90" s="1"/>
      <x:c r="B90" s="1"/>
      <x:c r="C90" s="1"/>
      <x:c r="D90" s="1"/>
      <x:c r="E90" s="1"/>
      <x:c r="F90" s="1"/>
      <x:c r="G90" s="1"/>
      <x:c r="H90" s="1"/>
    </x:row>
    <x:row r="91" ht="22" customHeight="1">
      <x:c r="A91" s="1"/>
      <x:c r="B91" s="1"/>
      <x:c r="C91" s="1"/>
      <x:c r="D91" s="1"/>
      <x:c r="E91" s="1"/>
      <x:c r="F91" s="1"/>
      <x:c r="G91" s="1"/>
      <x:c r="H91" s="1"/>
    </x:row>
    <x:row r="92" ht="22" customHeight="1">
      <x:c r="A92" s="1"/>
      <x:c r="B92" s="1"/>
      <x:c r="C92" s="1"/>
      <x:c r="D92" s="1"/>
      <x:c r="E92" s="1"/>
      <x:c r="F92" s="1"/>
      <x:c r="G92" s="1"/>
      <x:c r="H92" s="1"/>
    </x:row>
    <x:row r="93" ht="22" customHeight="1">
      <x:c r="A93" s="1"/>
      <x:c r="B93" s="1"/>
      <x:c r="C93" s="1"/>
      <x:c r="D93" s="1"/>
      <x:c r="E93" s="1"/>
      <x:c r="F93" s="1"/>
      <x:c r="G93" s="1"/>
      <x:c r="H93" s="1"/>
    </x:row>
    <x:row r="94" ht="22" customHeight="1">
      <x:c r="A94" s="1"/>
      <x:c r="B94" s="1"/>
      <x:c r="C94" s="1"/>
      <x:c r="D94" s="1"/>
      <x:c r="E94" s="1"/>
      <x:c r="F94" s="1"/>
      <x:c r="G94" s="1"/>
      <x:c r="H94" s="1"/>
    </x:row>
    <x:row r="95" ht="22" customHeight="1">
      <x:c r="A95" s="1"/>
      <x:c r="B95" s="1"/>
      <x:c r="C95" s="1"/>
      <x:c r="D95" s="1"/>
      <x:c r="E95" s="1"/>
      <x:c r="F95" s="1"/>
      <x:c r="G95" s="1"/>
      <x:c r="H95" s="1"/>
    </x:row>
    <x:row r="96" ht="22" customHeight="1">
      <x:c r="A96" s="1"/>
      <x:c r="B96" s="1"/>
      <x:c r="C96" s="1"/>
      <x:c r="D96" s="1"/>
      <x:c r="E96" s="1"/>
      <x:c r="F96" s="1"/>
      <x:c r="G96" s="1"/>
      <x:c r="H96" s="1"/>
    </x:row>
    <x:row r="97" ht="22" customHeight="1">
      <x:c r="A97" s="1"/>
      <x:c r="B97" s="1"/>
      <x:c r="C97" s="1"/>
      <x:c r="D97" s="1"/>
      <x:c r="E97" s="1"/>
      <x:c r="F97" s="1"/>
      <x:c r="G97" s="1"/>
      <x:c r="H97" s="1"/>
    </x:row>
    <x:row r="98" ht="22" customHeight="1">
      <x:c r="A98" s="1"/>
      <x:c r="B98" s="1"/>
      <x:c r="C98" s="1"/>
      <x:c r="D98" s="1"/>
      <x:c r="E98" s="1"/>
      <x:c r="F98" s="1"/>
      <x:c r="G98" s="1"/>
      <x:c r="H98" s="1"/>
    </x:row>
    <x:row r="99" ht="22" customHeight="1">
      <x:c r="A99" s="1"/>
      <x:c r="B99" s="1"/>
      <x:c r="C99" s="1"/>
      <x:c r="D99" s="1"/>
      <x:c r="E99" s="1"/>
      <x:c r="F99" s="1"/>
      <x:c r="G99" s="1"/>
      <x:c r="H99" s="1"/>
    </x:row>
    <x:row r="100" ht="22" customHeight="1">
      <x:c r="A100" s="1"/>
      <x:c r="B100" s="1"/>
      <x:c r="C100" s="1"/>
      <x:c r="D100" s="1"/>
      <x:c r="E100" s="1"/>
      <x:c r="F100" s="1"/>
      <x:c r="G100" s="1"/>
      <x:c r="H100" s="1"/>
    </x:row>
  </x:sheetData>
  <x:mergeCells>
    <x:mergeCell ref="A1:F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6" hidden="0" customWidth="1"/>
    <x:col min="8" max="8" width="26" hidden="0" customWidth="1"/>
  </x:cols>
  <x:sheetData>
    <x:row r="1" ht="34" customHeight="1">
      <x:c r="A1" s="3" t="str">
        <x:v>Four separate outputs | conditional</x:v>
      </x:c>
      <x:c r="B1" s="3"/>
      <x:c r="C1" s="3"/>
      <x:c r="D1" s="3"/>
      <x:c r="E1" s="3"/>
      <x:c r="F1" s="3"/>
      <x:c r="G1" s="3"/>
      <x:c r="H1" s="1"/>
    </x:row>
    <x:row r="2" ht="22" customHeight="1">
      <x:c r="A2" s="1"/>
      <x:c r="B2" s="1"/>
      <x:c r="C2" s="1"/>
      <x:c r="D2" s="1"/>
      <x:c r="E2" s="1"/>
      <x:c r="F2" s="1"/>
      <x:c r="G2" s="1"/>
      <x:c r="H2" s="1"/>
    </x:row>
    <x:row r="3" ht="22" customHeight="1">
      <x:c r="A3" s="1"/>
      <x:c r="B3" s="1"/>
      <x:c r="C3" s="1"/>
      <x:c r="D3" s="1"/>
      <x:c r="E3" s="1"/>
      <x:c r="F3" s="1"/>
      <x:c r="G3" s="1"/>
      <x:c r="H3" s="1"/>
    </x:row>
    <x:row r="4" ht="22" customHeight="1">
      <x:c r="A4" s="1" t="str">
        <x:v>Terminal annual revenue</x:v>
      </x:c>
      <x:c r="B4" s="12" t="n">
        <x:f>'Forecast'!F9*(1+'Assumptions'!B13)</x:f>
        <x:v>14684.191367807676</x:v>
      </x:c>
      <x:c r="C4" s="12"/>
      <x:c r="D4" s="12"/>
      <x:c r="E4" s="12"/>
      <x:c r="F4" s="1"/>
      <x:c r="G4" s="1"/>
      <x:c r="H4" s="1"/>
    </x:row>
    <x:row r="5" ht="22" customHeight="1">
      <x:c r="A5" s="1" t="str">
        <x:v>Terminal annual FCFE</x:v>
      </x:c>
      <x:c r="B5" s="12" t="n">
        <x:f>(B4*'Forecast'!F10-'Assumptions'!F54)*(1-'Forecast'!F12)+B4*('Assumptions'!F39-'Assumptions'!F44)-(B4-'Forecast'!F9)*'Assumptions'!F49</x:f>
        <x:v>8546.139063592322</x:v>
      </x:c>
      <x:c r="C5" s="12"/>
      <x:c r="D5" s="12"/>
      <x:c r="E5" s="12"/>
      <x:c r="F5" s="1"/>
      <x:c r="G5" s="1"/>
      <x:c r="H5" s="1"/>
    </x:row>
    <x:row r="6" ht="22" customHeight="1">
      <x:c r="A6" s="1" t="str">
        <x:v>Current intrinsic value / share</x:v>
      </x:c>
      <x:c r="B6" s="12" t="n">
        <x:f>IF(B17="PASS",SUM('Forecast'!B35:F35),"WITHHELD")</x:f>
        <x:v>250.80169672613647</x:v>
      </x:c>
      <x:c r="C6" s="12"/>
      <x:c r="D6" s="12"/>
      <x:c r="E6" s="12"/>
      <x:c r="F6" s="1"/>
      <x:c r="G6" s="1"/>
      <x:c r="H6" s="1"/>
    </x:row>
    <x:row r="7" ht="22" customHeight="1">
      <x:c r="A7" s="1" t="str">
        <x:v>Conditional horizon value / share</x:v>
      </x:c>
      <x:c r="B7" s="12" t="n">
        <x:f>IF(B17="PASS",(B8+'Forecast'!F32+'Assumptions'!B10)/'Forecast'!F28,"WITHHELD")</x:f>
        <x:v>422.7362949564587</x:v>
      </x:c>
      <x:c r="C7" s="12"/>
      <x:c r="D7" s="12"/>
      <x:c r="E7" s="12"/>
      <x:c r="F7" s="1"/>
      <x:c r="G7" s="1"/>
      <x:c r="H7" s="1"/>
    </x:row>
    <x:row r="8" ht="22" customHeight="1">
      <x:c r="A8" s="1" t="str">
        <x:v>Terminal continuing equity value</x:v>
      </x:c>
      <x:c r="B8" s="12" t="n">
        <x:f>IF('Assumptions'!B12&gt;'Assumptions'!B13,B5/('Assumptions'!B12-'Assumptions'!B13),"WITHHELD")</x:f>
        <x:v>106826.73829490402</x:v>
      </x:c>
      <x:c r="C8" s="12"/>
      <x:c r="D8" s="12"/>
      <x:c r="E8" s="12"/>
      <x:c r="F8" s="1"/>
      <x:c r="G8" s="1"/>
      <x:c r="H8" s="1"/>
    </x:row>
    <x:row r="9" ht="22" customHeight="1">
      <x:c r="A9" s="1"/>
      <x:c r="B9" s="12"/>
      <x:c r="C9" s="12"/>
      <x:c r="D9" s="12"/>
      <x:c r="E9" s="12"/>
      <x:c r="F9" s="1"/>
      <x:c r="G9" s="1"/>
      <x:c r="H9" s="1"/>
    </x:row>
    <x:row r="10" ht="22" customHeight="1">
      <x:c r="A10" s="1" t="str">
        <x:v>Prospective annualised total return</x:v>
      </x:c>
      <x:c r="B10" s="11" t="n">
        <x:f>IF(AND(B17="PASS",ISNUMBER(B23)),XIRR(B23:B28,A23:A28),"WITHHELD")</x:f>
        <x:v>0.08426346100195554</x:v>
      </x:c>
      <x:c r="C10" s="12"/>
      <x:c r="D10" s="12"/>
      <x:c r="E10" s="12"/>
      <x:c r="F10" s="1"/>
      <x:c r="G10" s="1"/>
      <x:c r="H10" s="1"/>
    </x:row>
    <x:row r="11" ht="22" customHeight="1">
      <x:c r="A11" s="1" t="str">
        <x:v>Annualised price appreciation</x:v>
      </x:c>
      <x:c r="B11" s="11" t="n">
        <x:f>IF(AND(B17="PASS",ISNUMBER(B23)),(B7/'Assumptions'!B5)^(365/('Forecast'!F4-'Assumptions'!B17))-1,"WITHHELD")</x:f>
        <x:v>0.0842634610019557</x:v>
      </x:c>
      <x:c r="C11" s="12"/>
      <x:c r="D11" s="12"/>
      <x:c r="E11" s="12"/>
      <x:c r="F11" s="1"/>
      <x:c r="G11" s="1"/>
      <x:c r="H11" s="1"/>
    </x:row>
    <x:row r="12" ht="44" customHeight="1">
      <x:c r="A12" s="1" t="str">
        <x:v>Market-implied growth snapshot</x:v>
      </x:c>
      <x:c r="B12" s="11" t="n">
        <x:v>0.19248833686162536</x:v>
      </x:c>
      <x:c r="C12" s="21" t="str">
        <x:v>Constant 5yr growth with Base margins, k, g, cash and ownership fixed; dated snapshot.</x:v>
      </x:c>
      <x:c r="D12" s="12"/>
      <x:c r="E12" s="12"/>
      <x:c r="F12" s="1"/>
      <x:c r="G12" s="1"/>
      <x:c r="H12" s="1"/>
    </x:row>
    <x:row r="13" ht="22" customHeight="1">
      <x:c r="A13" s="1" t="str">
        <x:v>PV / horizon bridge residual</x:v>
      </x:c>
      <x:c r="B13" s="12" t="n">
        <x:f>IF(B17="PASS",B6-SUMPRODUCT('Forecast'!B24:F24,1/(1+'Assumptions'!B12)^'Forecast'!B6:F6)-B7/(1+'Assumptions'!B12)^'Forecast'!F6,"WITHHELD")</x:f>
        <x:v>0</x:v>
      </x:c>
      <x:c r="C13" s="12"/>
      <x:c r="D13" s="12"/>
      <x:c r="E13" s="12"/>
      <x:c r="F13" s="1"/>
      <x:c r="G13" s="1"/>
      <x:c r="H13" s="1"/>
    </x:row>
    <x:row r="14" ht="22" customHeight="1">
      <x:c r="A14" s="1"/>
      <x:c r="B14" s="12"/>
      <x:c r="C14" s="12"/>
      <x:c r="D14" s="12"/>
      <x:c r="E14" s="12"/>
      <x:c r="F14" s="1"/>
      <x:c r="G14" s="1"/>
      <x:c r="H14" s="1"/>
    </x:row>
    <x:row r="15" ht="22" customHeight="1">
      <x:c r="A15" s="1" t="str">
        <x:v>Report comparison remains a snapshot</x:v>
      </x:c>
      <x:c r="B15" s="12"/>
      <x:c r="C15" s="12"/>
      <x:c r="D15" s="12"/>
      <x:c r="E15" s="12"/>
      <x:c r="F15" s="1"/>
      <x:c r="G15" s="1"/>
      <x:c r="H15" s="1"/>
    </x:row>
    <x:row r="16" ht="22" customHeight="1">
      <x:c r="A16" s="1"/>
      <x:c r="B16" s="12"/>
      <x:c r="C16" s="12"/>
      <x:c r="D16" s="12"/>
      <x:c r="E16" s="12"/>
      <x:c r="F16" s="1"/>
      <x:c r="G16" s="1"/>
      <x:c r="H16" s="1"/>
    </x:row>
    <x:row r="17" ht="22" customHeight="1">
      <x:c r="A17" s="1" t="str">
        <x:v>Validity gate</x:v>
      </x:c>
      <x:c r="B17" s="12" t="str">
        <x:f>IF(AND('Assumptions'!F18="PASS",'Assumptions'!B4&gt;=1,'Assumptions'!B4&lt;=4,CHOOSE('Assumptions'!B4,COUNT('Assumptions'!B20:B84),COUNT('Assumptions'!C20:C84),COUNT('Assumptions'!D20:D84),COUNT('Assumptions'!E20:E84))=65,CHOOSE('Assumptions'!B4,COUNT('Assumptions'!B15:B16),COUNT('Assumptions'!C15:C16),COUNT('Assumptions'!D15:D16),COUNT('Assumptions'!E15:E16))=2,'Assumptions'!B12&gt;'Assumptions'!B13,'Assumptions'!B12&gt;0,MIN('Assumptions'!F30:F34)&gt;=0,MAX('Assumptions'!F30:F34)&lt;=1,MIN('Assumptions'!F60:F64)&gt;=0,MAX('Assumptions'!F60:F64)&lt;=1,B5&gt;0,MIN('Forecast'!B32:F32)&gt;=0,MIN('Forecast'!B28:F28)&gt;0),"PASS","WITHHELD")</x:f>
        <x:v>PASS</x:v>
      </x:c>
      <x:c r="C17" s="12"/>
      <x:c r="D17" s="12"/>
      <x:c r="E17" s="12"/>
      <x:c r="F17" s="1"/>
      <x:c r="G17" s="1"/>
      <x:c r="H17" s="1"/>
    </x:row>
    <x:row r="18" ht="22" customHeight="1">
      <x:c r="A18" s="1"/>
      <x:c r="B18" s="12"/>
      <x:c r="C18" s="12"/>
      <x:c r="D18" s="12"/>
      <x:c r="E18" s="12"/>
      <x:c r="F18" s="1"/>
      <x:c r="G18" s="1"/>
      <x:c r="H18" s="1"/>
    </x:row>
    <x:row r="19" ht="22" customHeight="1">
      <x:c r="A19" s="1"/>
      <x:c r="B19" s="12"/>
      <x:c r="C19" s="12"/>
      <x:c r="D19" s="12"/>
      <x:c r="E19" s="12"/>
      <x:c r="F19" s="1"/>
      <x:c r="G19" s="1"/>
      <x:c r="H19" s="1"/>
    </x:row>
    <x:row r="20" ht="22" customHeight="1">
      <x:c r="A20" s="1"/>
      <x:c r="B20" s="12"/>
      <x:c r="C20" s="12"/>
      <x:c r="D20" s="12"/>
      <x:c r="E20" s="12"/>
      <x:c r="F20" s="1"/>
      <x:c r="G20" s="1"/>
      <x:c r="H20" s="1"/>
    </x:row>
    <x:row r="21" ht="22" customHeight="1">
      <x:c r="A21" s="1"/>
      <x:c r="B21" s="12"/>
      <x:c r="C21" s="12"/>
      <x:c r="D21" s="12"/>
      <x:c r="E21" s="12"/>
      <x:c r="F21" s="1"/>
      <x:c r="G21" s="1"/>
      <x:c r="H21" s="1"/>
    </x:row>
    <x:row r="22" ht="22" customHeight="1">
      <x:c r="A22" s="6" t="str">
        <x:v>Explicit cash-flow date</x:v>
      </x:c>
      <x:c r="B22" s="19" t="str">
        <x:v>Per-share cash flow</x:v>
      </x:c>
      <x:c r="C22" s="19" t="str">
        <x:v>Years from valuation</x:v>
      </x:c>
      <x:c r="D22" s="12"/>
      <x:c r="E22" s="12"/>
      <x:c r="F22" s="1"/>
      <x:c r="G22" s="1"/>
      <x:c r="H22" s="1"/>
    </x:row>
    <x:row r="23" ht="22" customHeight="1">
      <x:c r="A23" s="10" t="n">
        <x:f>'Assumptions'!B17</x:f>
        <x:v>46300</x:v>
      </x:c>
      <x:c r="B23" s="12" t="n">
        <x:f>IF(AND(ISNUMBER('Assumptions'!B5),'Assumptions'!B5&gt;0),-'Assumptions'!B5,"WITHHELD")</x:f>
        <x:v>-281.97</x:v>
      </x:c>
      <x:c r="C23" s="12" t="n">
        <x:v>0</x:v>
      </x:c>
      <x:c r="D23" s="12"/>
      <x:c r="E23" s="12"/>
      <x:c r="F23" s="1"/>
      <x:c r="G23" s="1"/>
      <x:c r="H23" s="1"/>
    </x:row>
    <x:row r="24" ht="22" customHeight="1">
      <x:c r="A24" s="10" t="n">
        <x:f>'Forecast'!B4</x:f>
        <x:v>46666</x:v>
      </x:c>
      <x:c r="B24" s="12" t="n">
        <x:f>'Forecast'!B34</x:f>
        <x:v>0</x:v>
      </x:c>
      <x:c r="C24" s="12" t="n">
        <x:f>'Forecast'!B6</x:f>
        <x:v>1</x:v>
      </x:c>
      <x:c r="D24" s="12"/>
      <x:c r="E24" s="12"/>
      <x:c r="F24" s="1"/>
      <x:c r="G24" s="1"/>
      <x:c r="H24" s="1"/>
    </x:row>
    <x:row r="25" ht="22" customHeight="1">
      <x:c r="A25" s="10" t="n">
        <x:f>'Forecast'!C4</x:f>
        <x:v>47032</x:v>
      </x:c>
      <x:c r="B25" s="12" t="n">
        <x:f>'Forecast'!C34</x:f>
        <x:v>0</x:v>
      </x:c>
      <x:c r="C25" s="12" t="n">
        <x:f>'Forecast'!C6</x:f>
        <x:v>2.0027397260273974</x:v>
      </x:c>
      <x:c r="D25" s="12"/>
      <x:c r="E25" s="12"/>
      <x:c r="F25" s="1"/>
      <x:c r="G25" s="1"/>
      <x:c r="H25" s="1"/>
    </x:row>
    <x:row r="26" ht="22" customHeight="1">
      <x:c r="A26" s="10" t="n">
        <x:f>'Forecast'!D4</x:f>
        <x:v>47397</x:v>
      </x:c>
      <x:c r="B26" s="12" t="n">
        <x:f>'Forecast'!D34</x:f>
        <x:v>0</x:v>
      </x:c>
      <x:c r="C26" s="12" t="n">
        <x:f>'Forecast'!D6</x:f>
        <x:v>3.0027397260273974</x:v>
      </x:c>
      <x:c r="D26" s="12"/>
      <x:c r="E26" s="12"/>
      <x:c r="F26" s="1"/>
      <x:c r="G26" s="1"/>
      <x:c r="H26" s="1"/>
    </x:row>
    <x:row r="27" ht="22" customHeight="1">
      <x:c r="A27" s="10" t="n">
        <x:f>'Forecast'!E4</x:f>
        <x:v>47762</x:v>
      </x:c>
      <x:c r="B27" s="12" t="n">
        <x:f>'Forecast'!E34</x:f>
        <x:v>0</x:v>
      </x:c>
      <x:c r="C27" s="12" t="n">
        <x:f>'Forecast'!E6</x:f>
        <x:v>4.002739726027397</x:v>
      </x:c>
      <x:c r="D27" s="12"/>
      <x:c r="E27" s="12"/>
      <x:c r="F27" s="1"/>
      <x:c r="G27" s="1"/>
      <x:c r="H27" s="1"/>
    </x:row>
    <x:row r="28" ht="22" customHeight="1">
      <x:c r="A28" s="10" t="n">
        <x:f>'Forecast'!F4</x:f>
        <x:v>48127</x:v>
      </x:c>
      <x:c r="B28" s="12" t="n">
        <x:f>'Forecast'!F34</x:f>
        <x:v>422.7362949564587</x:v>
      </x:c>
      <x:c r="C28" s="12" t="n">
        <x:f>'Forecast'!F6</x:f>
        <x:v>5.002739726027397</x:v>
      </x:c>
      <x:c r="D28" s="12"/>
      <x:c r="E28" s="12"/>
      <x:c r="F28" s="1"/>
      <x:c r="G28" s="1"/>
      <x:c r="H28" s="1"/>
    </x:row>
    <x:row r="29" ht="22" customHeight="1">
      <x:c r="A29" s="1"/>
      <x:c r="B29" s="12"/>
      <x:c r="C29" s="12"/>
      <x:c r="D29" s="12"/>
      <x:c r="E29" s="12"/>
      <x:c r="F29" s="1"/>
      <x:c r="G29" s="1"/>
      <x:c r="H29" s="1"/>
    </x:row>
    <x:row r="30" ht="22" customHeight="1">
      <x:c r="A30" s="1"/>
      <x:c r="B30" s="12"/>
      <x:c r="C30" s="12"/>
      <x:c r="D30" s="12"/>
      <x:c r="E30" s="12"/>
      <x:c r="F30" s="1"/>
      <x:c r="G30" s="1"/>
      <x:c r="H30" s="1"/>
    </x:row>
    <x:row r="31" ht="22" customHeight="1">
      <x:c r="A31" s="6" t="str">
        <x:v>Reported case snapshot</x:v>
      </x:c>
      <x:c r="B31" s="19" t="str">
        <x:v>Current value</x:v>
      </x:c>
      <x:c r="C31" s="19" t="str">
        <x:v>Horizon value</x:v>
      </x:c>
      <x:c r="D31" s="19" t="str">
        <x:v>Annualised return</x:v>
      </x:c>
      <x:c r="E31" s="12"/>
      <x:c r="F31" s="1"/>
      <x:c r="G31" s="1"/>
      <x:c r="H31" s="1"/>
    </x:row>
    <x:row r="32" ht="22" customHeight="1">
      <x:c r="A32" s="1" t="str">
        <x:v>Bear</x:v>
      </x:c>
      <x:c r="B32" s="12" t="n">
        <x:v>97.5626899313724</x:v>
      </x:c>
      <x:c r="C32" s="12" t="n">
        <x:v>179.81313117512698</x:v>
      </x:c>
      <x:c r="D32" s="11" t="n">
        <x:v>-0.08595731720047367</x:v>
      </x:c>
      <x:c r="E32" s="12"/>
      <x:c r="F32" s="1"/>
      <x:c r="G32" s="1"/>
      <x:c r="H32" s="1"/>
    </x:row>
    <x:row r="33" ht="22" customHeight="1">
      <x:c r="A33" s="1" t="str">
        <x:v>Base</x:v>
      </x:c>
      <x:c r="B33" s="12" t="n">
        <x:v>250.80169672613647</x:v>
      </x:c>
      <x:c r="C33" s="12" t="n">
        <x:v>422.7362949564587</x:v>
      </x:c>
      <x:c r="D33" s="11" t="n">
        <x:v>0.08426346100195559</x:v>
      </x:c>
      <x:c r="E33" s="12"/>
      <x:c r="F33" s="1"/>
      <x:c r="G33" s="1"/>
      <x:c r="H33" s="1"/>
    </x:row>
    <x:row r="34" ht="22" customHeight="1">
      <x:c r="A34" s="1" t="str">
        <x:v>Bull</x:v>
      </x:c>
      <x:c r="B34" s="12" t="n">
        <x:v>445.9695953832015</x:v>
      </x:c>
      <x:c r="C34" s="12" t="n">
        <x:v>718.426066699958</x:v>
      </x:c>
      <x:c r="D34" s="11" t="n">
        <x:v>0.20544363272280675</x:v>
      </x:c>
      <x:c r="E34" s="12"/>
      <x:c r="F34" s="1"/>
      <x:c r="G34" s="1"/>
      <x:c r="H34" s="1"/>
    </x:row>
    <x:row r="35" ht="22" customHeight="1">
      <x:c r="A35" s="1"/>
      <x:c r="B35" s="12"/>
      <x:c r="C35" s="12"/>
      <x:c r="D35" s="12"/>
      <x:c r="E35" s="12"/>
      <x:c r="F35" s="1"/>
      <x:c r="G35" s="1"/>
      <x:c r="H35" s="1"/>
    </x:row>
    <x:row r="36" ht="22" customHeight="1">
      <x:c r="A36" s="1"/>
      <x:c r="B36" s="12"/>
      <x:c r="C36" s="12"/>
      <x:c r="D36" s="12"/>
      <x:c r="E36" s="12"/>
      <x:c r="F36" s="1"/>
      <x:c r="G36" s="1"/>
      <x:c r="H36" s="1"/>
    </x:row>
    <x:row r="37" ht="22" customHeight="1">
      <x:c r="A37" s="1" t="str">
        <x:v>Entry illustration | intact forecast</x:v>
      </x:c>
      <x:c r="B37" s="20" t="n">
        <x:v>0.08</x:v>
      </x:c>
      <x:c r="C37" s="20" t="n">
        <x:v>0.1</x:v>
      </x:c>
      <x:c r="D37" s="20" t="n">
        <x:v>0.12</x:v>
      </x:c>
      <x:c r="E37" s="20" t="n">
        <x:v>0.15</x:v>
      </x:c>
      <x:c r="F37" s="1"/>
      <x:c r="G37" s="1"/>
      <x:c r="H37" s="1"/>
    </x:row>
    <x:row r="38" ht="22" customHeight="1">
      <x:c r="A38" s="1"/>
      <x:c r="B38" s="12" t="n">
        <x:f>IF($B$17="PASS",SUMPRODUCT($B$24:$B$28,1/(1+B37)^$C$24:$C$28),"WITHHELD")</x:f>
        <x:v>287.64656182799956</x:v>
      </x:c>
      <x:c r="C38" s="12" t="n">
        <x:f>IF($B$17="PASS",SUMPRODUCT($B$24:$B$28,1/(1+C37)^$C$24:$C$28),"WITHHELD")</x:f>
        <x:v>262.4174471863392</x:v>
      </x:c>
      <x:c r="D38" s="12" t="n">
        <x:f>IF($B$17="PASS",SUMPRODUCT($B$24:$B$28,1/(1+D37)^$C$24:$C$28),"WITHHELD")</x:f>
        <x:v>239.79746048008428</x:v>
      </x:c>
      <x:c r="E38" s="12" t="n">
        <x:f>IF($B$17="PASS",SUMPRODUCT($B$24:$B$28,1/(1+E37)^$C$24:$C$28),"WITHHELD")</x:f>
        <x:v>210.0941885683789</x:v>
      </x:c>
      <x:c r="F38" s="1"/>
      <x:c r="G38" s="1"/>
      <x:c r="H38" s="1"/>
    </x:row>
    <x:row r="39" ht="22" customHeight="1">
      <x:c r="A39" s="1"/>
      <x:c r="B39" s="1"/>
      <x:c r="C39" s="1"/>
      <x:c r="D39" s="1"/>
      <x:c r="E39" s="1"/>
      <x:c r="F39" s="1"/>
      <x:c r="G39" s="1"/>
      <x:c r="H39" s="1"/>
    </x:row>
    <x:row r="40" ht="22" customHeight="1">
      <x:c r="A40" s="1"/>
      <x:c r="B40" s="1"/>
      <x:c r="C40" s="1"/>
      <x:c r="D40" s="1"/>
      <x:c r="E40" s="1"/>
      <x:c r="F40" s="1"/>
      <x:c r="G40" s="1"/>
      <x:c r="H40" s="1"/>
    </x:row>
    <x:row r="41" ht="22" customHeight="1">
      <x:c r="A41" s="1"/>
      <x:c r="B41" s="1"/>
      <x:c r="C41" s="1"/>
      <x:c r="D41" s="1"/>
      <x:c r="E41" s="1"/>
      <x:c r="F41" s="1"/>
      <x:c r="G41" s="1"/>
      <x:c r="H41" s="1"/>
    </x:row>
    <x:row r="42" ht="22" customHeight="1">
      <x:c r="A42" s="1"/>
      <x:c r="B42" s="1"/>
      <x:c r="C42" s="1"/>
      <x:c r="D42" s="1"/>
      <x:c r="E42" s="1"/>
      <x:c r="F42" s="1"/>
      <x:c r="G42" s="1"/>
      <x:c r="H42" s="1"/>
    </x:row>
    <x:row r="43" ht="22" customHeight="1">
      <x:c r="A43" s="1"/>
      <x:c r="B43" s="1"/>
      <x:c r="C43" s="1"/>
      <x:c r="D43" s="1"/>
      <x:c r="E43" s="1"/>
      <x:c r="F43" s="1"/>
      <x:c r="G43" s="1"/>
      <x:c r="H43" s="1"/>
    </x:row>
    <x:row r="44" ht="22" customHeight="1">
      <x:c r="A44" s="1"/>
      <x:c r="B44" s="1"/>
      <x:c r="C44" s="1"/>
      <x:c r="D44" s="1"/>
      <x:c r="E44" s="1"/>
      <x:c r="F44" s="1"/>
      <x:c r="G44" s="1"/>
      <x:c r="H44" s="1"/>
    </x:row>
    <x:row r="45" ht="22" customHeight="1">
      <x:c r="A45" s="1"/>
      <x:c r="B45" s="1"/>
      <x:c r="C45" s="1"/>
      <x:c r="D45" s="1"/>
      <x:c r="E45" s="1"/>
      <x:c r="F45" s="1"/>
      <x:c r="G45" s="1"/>
      <x:c r="H45" s="1"/>
    </x:row>
    <x:row r="46" ht="22" customHeight="1">
      <x:c r="A46" s="1"/>
      <x:c r="B46" s="1"/>
      <x:c r="C46" s="1"/>
      <x:c r="D46" s="1"/>
      <x:c r="E46" s="1"/>
      <x:c r="F46" s="1"/>
      <x:c r="G46" s="1"/>
      <x:c r="H46" s="1"/>
    </x:row>
    <x:row r="47" ht="22" customHeight="1">
      <x:c r="A47" s="1"/>
      <x:c r="B47" s="1"/>
      <x:c r="C47" s="1"/>
      <x:c r="D47" s="1"/>
      <x:c r="E47" s="1"/>
      <x:c r="F47" s="1"/>
      <x:c r="G47" s="1"/>
      <x:c r="H47" s="1"/>
    </x:row>
    <x:row r="48" ht="22" customHeight="1">
      <x:c r="A48" s="1"/>
      <x:c r="B48" s="1"/>
      <x:c r="C48" s="1"/>
      <x:c r="D48" s="1"/>
      <x:c r="E48" s="1"/>
      <x:c r="F48" s="1"/>
      <x:c r="G48" s="1"/>
      <x:c r="H48" s="1"/>
    </x:row>
    <x:row r="49" ht="22" customHeight="1">
      <x:c r="A49" s="1"/>
      <x:c r="B49" s="1"/>
      <x:c r="C49" s="1"/>
      <x:c r="D49" s="1"/>
      <x:c r="E49" s="1"/>
      <x:c r="F49" s="1"/>
      <x:c r="G49" s="1"/>
      <x:c r="H49" s="1"/>
    </x:row>
    <x:row r="50" ht="22" customHeight="1">
      <x:c r="A50" s="1"/>
      <x:c r="B50" s="1"/>
      <x:c r="C50" s="1"/>
      <x:c r="D50" s="1"/>
      <x:c r="E50" s="1"/>
      <x:c r="F50" s="1"/>
      <x:c r="G50" s="1"/>
      <x:c r="H50" s="1"/>
    </x:row>
    <x:row r="51" ht="22" customHeight="1">
      <x:c r="A51" s="1"/>
      <x:c r="B51" s="1"/>
      <x:c r="C51" s="1"/>
      <x:c r="D51" s="1"/>
      <x:c r="E51" s="1"/>
      <x:c r="F51" s="1"/>
      <x:c r="G51" s="1"/>
      <x:c r="H51" s="1"/>
    </x:row>
    <x:row r="52" ht="22" customHeight="1">
      <x:c r="A52" s="1"/>
      <x:c r="B52" s="1"/>
      <x:c r="C52" s="1"/>
      <x:c r="D52" s="1"/>
      <x:c r="E52" s="1"/>
      <x:c r="F52" s="1"/>
      <x:c r="G52" s="1"/>
      <x:c r="H52" s="1"/>
    </x:row>
    <x:row r="53" ht="22" customHeight="1">
      <x:c r="A53" s="1"/>
      <x:c r="B53" s="1"/>
      <x:c r="C53" s="1"/>
      <x:c r="D53" s="1"/>
      <x:c r="E53" s="1"/>
      <x:c r="F53" s="1"/>
      <x:c r="G53" s="1"/>
      <x:c r="H53" s="1"/>
    </x:row>
    <x:row r="54" ht="22" customHeight="1">
      <x:c r="A54" s="1"/>
      <x:c r="B54" s="1"/>
      <x:c r="C54" s="1"/>
      <x:c r="D54" s="1"/>
      <x:c r="E54" s="1"/>
      <x:c r="F54" s="1"/>
      <x:c r="G54" s="1"/>
      <x:c r="H54" s="1"/>
    </x:row>
    <x:row r="55" ht="22" customHeight="1">
      <x:c r="A55" s="1"/>
      <x:c r="B55" s="1"/>
      <x:c r="C55" s="1"/>
      <x:c r="D55" s="1"/>
      <x:c r="E55" s="1"/>
      <x:c r="F55" s="1"/>
      <x:c r="G55" s="1"/>
      <x:c r="H55" s="1"/>
    </x:row>
    <x:row r="56" ht="22" customHeight="1">
      <x:c r="A56" s="1"/>
      <x:c r="B56" s="1"/>
      <x:c r="C56" s="1"/>
      <x:c r="D56" s="1"/>
      <x:c r="E56" s="1"/>
      <x:c r="F56" s="1"/>
      <x:c r="G56" s="1"/>
      <x:c r="H56" s="1"/>
    </x:row>
    <x:row r="57" ht="22" customHeight="1">
      <x:c r="A57" s="1"/>
      <x:c r="B57" s="1"/>
      <x:c r="C57" s="1"/>
      <x:c r="D57" s="1"/>
      <x:c r="E57" s="1"/>
      <x:c r="F57" s="1"/>
      <x:c r="G57" s="1"/>
      <x:c r="H57" s="1"/>
    </x:row>
    <x:row r="58" ht="22" customHeight="1">
      <x:c r="A58" s="1"/>
      <x:c r="B58" s="1"/>
      <x:c r="C58" s="1"/>
      <x:c r="D58" s="1"/>
      <x:c r="E58" s="1"/>
      <x:c r="F58" s="1"/>
      <x:c r="G58" s="1"/>
      <x:c r="H58" s="1"/>
    </x:row>
    <x:row r="59" ht="22" customHeight="1">
      <x:c r="A59" s="1"/>
      <x:c r="B59" s="1"/>
      <x:c r="C59" s="1"/>
      <x:c r="D59" s="1"/>
      <x:c r="E59" s="1"/>
      <x:c r="F59" s="1"/>
      <x:c r="G59" s="1"/>
      <x:c r="H59" s="1"/>
    </x:row>
    <x:row r="60" ht="22" customHeight="1">
      <x:c r="A60" s="1"/>
      <x:c r="B60" s="1"/>
      <x:c r="C60" s="1"/>
      <x:c r="D60" s="1"/>
      <x:c r="E60" s="1"/>
      <x:c r="F60" s="1"/>
      <x:c r="G60" s="1"/>
      <x:c r="H60" s="1"/>
    </x:row>
    <x:row r="61" ht="22" customHeight="1">
      <x:c r="A61" s="1"/>
      <x:c r="B61" s="1"/>
      <x:c r="C61" s="1"/>
      <x:c r="D61" s="1"/>
      <x:c r="E61" s="1"/>
      <x:c r="F61" s="1"/>
      <x:c r="G61" s="1"/>
      <x:c r="H61" s="1"/>
    </x:row>
    <x:row r="62" ht="22" customHeight="1">
      <x:c r="A62" s="1"/>
      <x:c r="B62" s="1"/>
      <x:c r="C62" s="1"/>
      <x:c r="D62" s="1"/>
      <x:c r="E62" s="1"/>
      <x:c r="F62" s="1"/>
      <x:c r="G62" s="1"/>
      <x:c r="H62" s="1"/>
    </x:row>
    <x:row r="63" ht="22" customHeight="1">
      <x:c r="A63" s="1"/>
      <x:c r="B63" s="1"/>
      <x:c r="C63" s="1"/>
      <x:c r="D63" s="1"/>
      <x:c r="E63" s="1"/>
      <x:c r="F63" s="1"/>
      <x:c r="G63" s="1"/>
      <x:c r="H63" s="1"/>
    </x:row>
    <x:row r="64" ht="22" customHeight="1">
      <x:c r="A64" s="1"/>
      <x:c r="B64" s="1"/>
      <x:c r="C64" s="1"/>
      <x:c r="D64" s="1"/>
      <x:c r="E64" s="1"/>
      <x:c r="F64" s="1"/>
      <x:c r="G64" s="1"/>
      <x:c r="H64" s="1"/>
    </x:row>
    <x:row r="65" ht="22" customHeight="1">
      <x:c r="A65" s="1"/>
      <x:c r="B65" s="1"/>
      <x:c r="C65" s="1"/>
      <x:c r="D65" s="1"/>
      <x:c r="E65" s="1"/>
      <x:c r="F65" s="1"/>
      <x:c r="G65" s="1"/>
      <x:c r="H65" s="1"/>
    </x:row>
    <x:row r="66" ht="22" customHeight="1">
      <x:c r="A66" s="1"/>
      <x:c r="B66" s="1"/>
      <x:c r="C66" s="1"/>
      <x:c r="D66" s="1"/>
      <x:c r="E66" s="1"/>
      <x:c r="F66" s="1"/>
      <x:c r="G66" s="1"/>
      <x:c r="H66" s="1"/>
    </x:row>
    <x:row r="67" ht="22" customHeight="1">
      <x:c r="A67" s="1"/>
      <x:c r="B67" s="1"/>
      <x:c r="C67" s="1"/>
      <x:c r="D67" s="1"/>
      <x:c r="E67" s="1"/>
      <x:c r="F67" s="1"/>
      <x:c r="G67" s="1"/>
      <x:c r="H67" s="1"/>
    </x:row>
    <x:row r="68" ht="22" customHeight="1">
      <x:c r="A68" s="1"/>
      <x:c r="B68" s="1"/>
      <x:c r="C68" s="1"/>
      <x:c r="D68" s="1"/>
      <x:c r="E68" s="1"/>
      <x:c r="F68" s="1"/>
      <x:c r="G68" s="1"/>
      <x:c r="H68" s="1"/>
    </x:row>
    <x:row r="69" ht="22" customHeight="1">
      <x:c r="A69" s="1"/>
      <x:c r="B69" s="1"/>
      <x:c r="C69" s="1"/>
      <x:c r="D69" s="1"/>
      <x:c r="E69" s="1"/>
      <x:c r="F69" s="1"/>
      <x:c r="G69" s="1"/>
      <x:c r="H69" s="1"/>
    </x:row>
    <x:row r="70" ht="22" customHeight="1">
      <x:c r="A70" s="1"/>
      <x:c r="B70" s="1"/>
      <x:c r="C70" s="1"/>
      <x:c r="D70" s="1"/>
      <x:c r="E70" s="1"/>
      <x:c r="F70" s="1"/>
      <x:c r="G70" s="1"/>
      <x:c r="H70" s="1"/>
    </x:row>
    <x:row r="71" ht="22" customHeight="1">
      <x:c r="A71" s="1"/>
      <x:c r="B71" s="1"/>
      <x:c r="C71" s="1"/>
      <x:c r="D71" s="1"/>
      <x:c r="E71" s="1"/>
      <x:c r="F71" s="1"/>
      <x:c r="G71" s="1"/>
      <x:c r="H71" s="1"/>
    </x:row>
    <x:row r="72" ht="22" customHeight="1">
      <x:c r="A72" s="1"/>
      <x:c r="B72" s="1"/>
      <x:c r="C72" s="1"/>
      <x:c r="D72" s="1"/>
      <x:c r="E72" s="1"/>
      <x:c r="F72" s="1"/>
      <x:c r="G72" s="1"/>
      <x:c r="H72" s="1"/>
    </x:row>
    <x:row r="73" ht="22" customHeight="1">
      <x:c r="A73" s="1"/>
      <x:c r="B73" s="1"/>
      <x:c r="C73" s="1"/>
      <x:c r="D73" s="1"/>
      <x:c r="E73" s="1"/>
      <x:c r="F73" s="1"/>
      <x:c r="G73" s="1"/>
      <x:c r="H73" s="1"/>
    </x:row>
    <x:row r="74" ht="22" customHeight="1">
      <x:c r="A74" s="1"/>
      <x:c r="B74" s="1"/>
      <x:c r="C74" s="1"/>
      <x:c r="D74" s="1"/>
      <x:c r="E74" s="1"/>
      <x:c r="F74" s="1"/>
      <x:c r="G74" s="1"/>
      <x:c r="H74" s="1"/>
    </x:row>
    <x:row r="75" ht="22" customHeight="1">
      <x:c r="A75" s="1"/>
      <x:c r="B75" s="1"/>
      <x:c r="C75" s="1"/>
      <x:c r="D75" s="1"/>
      <x:c r="E75" s="1"/>
      <x:c r="F75" s="1"/>
      <x:c r="G75" s="1"/>
      <x:c r="H75" s="1"/>
    </x:row>
    <x:row r="76" ht="22" customHeight="1">
      <x:c r="A76" s="1"/>
      <x:c r="B76" s="1"/>
      <x:c r="C76" s="1"/>
      <x:c r="D76" s="1"/>
      <x:c r="E76" s="1"/>
      <x:c r="F76" s="1"/>
      <x:c r="G76" s="1"/>
      <x:c r="H76" s="1"/>
    </x:row>
    <x:row r="77" ht="22" customHeight="1">
      <x:c r="A77" s="1"/>
      <x:c r="B77" s="1"/>
      <x:c r="C77" s="1"/>
      <x:c r="D77" s="1"/>
      <x:c r="E77" s="1"/>
      <x:c r="F77" s="1"/>
      <x:c r="G77" s="1"/>
      <x:c r="H77" s="1"/>
    </x:row>
    <x:row r="78" ht="22" customHeight="1">
      <x:c r="A78" s="1"/>
      <x:c r="B78" s="1"/>
      <x:c r="C78" s="1"/>
      <x:c r="D78" s="1"/>
      <x:c r="E78" s="1"/>
      <x:c r="F78" s="1"/>
      <x:c r="G78" s="1"/>
      <x:c r="H78" s="1"/>
    </x:row>
    <x:row r="79" ht="22" customHeight="1">
      <x:c r="A79" s="1"/>
      <x:c r="B79" s="1"/>
      <x:c r="C79" s="1"/>
      <x:c r="D79" s="1"/>
      <x:c r="E79" s="1"/>
      <x:c r="F79" s="1"/>
      <x:c r="G79" s="1"/>
      <x:c r="H79" s="1"/>
    </x:row>
    <x:row r="80" ht="22" customHeight="1">
      <x:c r="A80" s="1"/>
      <x:c r="B80" s="1"/>
      <x:c r="C80" s="1"/>
      <x:c r="D80" s="1"/>
      <x:c r="E80" s="1"/>
      <x:c r="F80" s="1"/>
      <x:c r="G80" s="1"/>
      <x:c r="H80" s="1"/>
    </x:row>
    <x:row r="81" ht="22" customHeight="1">
      <x:c r="A81" s="1"/>
      <x:c r="B81" s="1"/>
      <x:c r="C81" s="1"/>
      <x:c r="D81" s="1"/>
      <x:c r="E81" s="1"/>
      <x:c r="F81" s="1"/>
      <x:c r="G81" s="1"/>
      <x:c r="H81" s="1"/>
    </x:row>
    <x:row r="82" ht="22" customHeight="1">
      <x:c r="A82" s="1"/>
      <x:c r="B82" s="1"/>
      <x:c r="C82" s="1"/>
      <x:c r="D82" s="1"/>
      <x:c r="E82" s="1"/>
      <x:c r="F82" s="1"/>
      <x:c r="G82" s="1"/>
      <x:c r="H82" s="1"/>
    </x:row>
    <x:row r="83" ht="22" customHeight="1">
      <x:c r="A83" s="1"/>
      <x:c r="B83" s="1"/>
      <x:c r="C83" s="1"/>
      <x:c r="D83" s="1"/>
      <x:c r="E83" s="1"/>
      <x:c r="F83" s="1"/>
      <x:c r="G83" s="1"/>
      <x:c r="H83" s="1"/>
    </x:row>
    <x:row r="84" ht="22" customHeight="1">
      <x:c r="A84" s="1"/>
      <x:c r="B84" s="1"/>
      <x:c r="C84" s="1"/>
      <x:c r="D84" s="1"/>
      <x:c r="E84" s="1"/>
      <x:c r="F84" s="1"/>
      <x:c r="G84" s="1"/>
      <x:c r="H84" s="1"/>
    </x:row>
    <x:row r="85" ht="22" customHeight="1">
      <x:c r="A85" s="1"/>
      <x:c r="B85" s="1"/>
      <x:c r="C85" s="1"/>
      <x:c r="D85" s="1"/>
      <x:c r="E85" s="1"/>
      <x:c r="F85" s="1"/>
      <x:c r="G85" s="1"/>
      <x:c r="H85" s="1"/>
    </x:row>
    <x:row r="86" ht="22" customHeight="1">
      <x:c r="A86" s="1"/>
      <x:c r="B86" s="1"/>
      <x:c r="C86" s="1"/>
      <x:c r="D86" s="1"/>
      <x:c r="E86" s="1"/>
      <x:c r="F86" s="1"/>
      <x:c r="G86" s="1"/>
      <x:c r="H86" s="1"/>
    </x:row>
    <x:row r="87" ht="22" customHeight="1">
      <x:c r="A87" s="1"/>
      <x:c r="B87" s="1"/>
      <x:c r="C87" s="1"/>
      <x:c r="D87" s="1"/>
      <x:c r="E87" s="1"/>
      <x:c r="F87" s="1"/>
      <x:c r="G87" s="1"/>
      <x:c r="H87" s="1"/>
    </x:row>
    <x:row r="88" ht="22" customHeight="1">
      <x:c r="A88" s="1"/>
      <x:c r="B88" s="1"/>
      <x:c r="C88" s="1"/>
      <x:c r="D88" s="1"/>
      <x:c r="E88" s="1"/>
      <x:c r="F88" s="1"/>
      <x:c r="G88" s="1"/>
      <x:c r="H88" s="1"/>
    </x:row>
    <x:row r="89" ht="22" customHeight="1">
      <x:c r="A89" s="1"/>
      <x:c r="B89" s="1"/>
      <x:c r="C89" s="1"/>
      <x:c r="D89" s="1"/>
      <x:c r="E89" s="1"/>
      <x:c r="F89" s="1"/>
      <x:c r="G89" s="1"/>
      <x:c r="H89" s="1"/>
    </x:row>
    <x:row r="90" ht="22" customHeight="1">
      <x:c r="A90" s="1"/>
      <x:c r="B90" s="1"/>
      <x:c r="C90" s="1"/>
      <x:c r="D90" s="1"/>
      <x:c r="E90" s="1"/>
      <x:c r="F90" s="1"/>
      <x:c r="G90" s="1"/>
      <x:c r="H90" s="1"/>
    </x:row>
    <x:row r="91" ht="22" customHeight="1">
      <x:c r="A91" s="1"/>
      <x:c r="B91" s="1"/>
      <x:c r="C91" s="1"/>
      <x:c r="D91" s="1"/>
      <x:c r="E91" s="1"/>
      <x:c r="F91" s="1"/>
      <x:c r="G91" s="1"/>
      <x:c r="H91" s="1"/>
    </x:row>
    <x:row r="92" ht="22" customHeight="1">
      <x:c r="A92" s="1"/>
      <x:c r="B92" s="1"/>
      <x:c r="C92" s="1"/>
      <x:c r="D92" s="1"/>
      <x:c r="E92" s="1"/>
      <x:c r="F92" s="1"/>
      <x:c r="G92" s="1"/>
      <x:c r="H92" s="1"/>
    </x:row>
    <x:row r="93" ht="22" customHeight="1">
      <x:c r="A93" s="1"/>
      <x:c r="B93" s="1"/>
      <x:c r="C93" s="1"/>
      <x:c r="D93" s="1"/>
      <x:c r="E93" s="1"/>
      <x:c r="F93" s="1"/>
      <x:c r="G93" s="1"/>
      <x:c r="H93" s="1"/>
    </x:row>
    <x:row r="94" ht="22" customHeight="1">
      <x:c r="A94" s="1"/>
      <x:c r="B94" s="1"/>
      <x:c r="C94" s="1"/>
      <x:c r="D94" s="1"/>
      <x:c r="E94" s="1"/>
      <x:c r="F94" s="1"/>
      <x:c r="G94" s="1"/>
      <x:c r="H94" s="1"/>
    </x:row>
    <x:row r="95" ht="22" customHeight="1">
      <x:c r="A95" s="1"/>
      <x:c r="B95" s="1"/>
      <x:c r="C95" s="1"/>
      <x:c r="D95" s="1"/>
      <x:c r="E95" s="1"/>
      <x:c r="F95" s="1"/>
      <x:c r="G95" s="1"/>
      <x:c r="H95" s="1"/>
    </x:row>
    <x:row r="96" ht="22" customHeight="1">
      <x:c r="A96" s="1"/>
      <x:c r="B96" s="1"/>
      <x:c r="C96" s="1"/>
      <x:c r="D96" s="1"/>
      <x:c r="E96" s="1"/>
      <x:c r="F96" s="1"/>
      <x:c r="G96" s="1"/>
      <x:c r="H96" s="1"/>
    </x:row>
    <x:row r="97" ht="22" customHeight="1">
      <x:c r="A97" s="1"/>
      <x:c r="B97" s="1"/>
      <x:c r="C97" s="1"/>
      <x:c r="D97" s="1"/>
      <x:c r="E97" s="1"/>
      <x:c r="F97" s="1"/>
      <x:c r="G97" s="1"/>
      <x:c r="H97" s="1"/>
    </x:row>
    <x:row r="98" ht="22" customHeight="1">
      <x:c r="A98" s="1"/>
      <x:c r="B98" s="1"/>
      <x:c r="C98" s="1"/>
      <x:c r="D98" s="1"/>
      <x:c r="E98" s="1"/>
      <x:c r="F98" s="1"/>
      <x:c r="G98" s="1"/>
      <x:c r="H98" s="1"/>
    </x:row>
    <x:row r="99" ht="22" customHeight="1">
      <x:c r="A99" s="1"/>
      <x:c r="B99" s="1"/>
      <x:c r="C99" s="1"/>
      <x:c r="D99" s="1"/>
      <x:c r="E99" s="1"/>
      <x:c r="F99" s="1"/>
      <x:c r="G99" s="1"/>
      <x:c r="H99" s="1"/>
    </x:row>
    <x:row r="100" ht="22" customHeight="1">
      <x:c r="A100" s="1"/>
      <x:c r="B100" s="1"/>
      <x:c r="C100" s="1"/>
      <x:c r="D100" s="1"/>
      <x:c r="E100" s="1"/>
      <x:c r="F100" s="1"/>
      <x:c r="G100" s="1"/>
      <x:c r="H100" s="1"/>
    </x:row>
  </x:sheetData>
  <x:mergeCells>
    <x:mergeCell ref="A1:G1"/>
    <x:mergeCell ref="C12:G1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6" hidden="0" customWidth="1"/>
    <x:col min="8" max="8" width="26" hidden="0" customWidth="1"/>
  </x:cols>
  <x:sheetData>
    <x:row r="1" ht="34" customHeight="1">
      <x:c r="A1" s="3" t="str">
        <x:v>Active forecast sensitivity | equity cost / terminal growth</x:v>
      </x:c>
      <x:c r="B1" s="3"/>
      <x:c r="C1" s="3"/>
      <x:c r="D1" s="3"/>
      <x:c r="E1" s="3"/>
      <x:c r="F1" s="3"/>
      <x:c r="G1" s="1"/>
      <x:c r="H1" s="1"/>
    </x:row>
    <x:row r="2" ht="22" customHeight="1">
      <x:c r="A2" s="1"/>
      <x:c r="B2" s="1"/>
      <x:c r="C2" s="1"/>
      <x:c r="D2" s="1"/>
      <x:c r="E2" s="1"/>
      <x:c r="F2" s="1"/>
      <x:c r="G2" s="1"/>
      <x:c r="H2" s="1"/>
    </x:row>
    <x:row r="3" ht="22" customHeight="1">
      <x:c r="A3" s="1" t="str">
        <x:v>Forecast held fixed; rebuild terminal working capital for each g.</x:v>
      </x:c>
      <x:c r="B3" s="1"/>
      <x:c r="C3" s="1"/>
      <x:c r="D3" s="1"/>
      <x:c r="E3" s="1"/>
      <x:c r="F3" s="1"/>
      <x:c r="G3" s="1"/>
      <x:c r="H3" s="1"/>
    </x:row>
    <x:row r="4" ht="22" customHeight="1">
      <x:c r="A4" s="1"/>
      <x:c r="B4" s="1"/>
      <x:c r="C4" s="1"/>
      <x:c r="D4" s="1"/>
      <x:c r="E4" s="1"/>
      <x:c r="F4" s="1"/>
      <x:c r="G4" s="1"/>
      <x:c r="H4" s="1"/>
    </x:row>
    <x:row r="5" ht="22" customHeight="1">
      <x:c r="A5" s="1"/>
      <x:c r="B5" s="11" t="n">
        <x:v>0.01</x:v>
      </x:c>
      <x:c r="C5" s="11" t="n">
        <x:v>0.02</x:v>
      </x:c>
      <x:c r="D5" s="11" t="n">
        <x:v>0.03</x:v>
      </x:c>
      <x:c r="E5" s="11" t="n">
        <x:v>0.035</x:v>
      </x:c>
      <x:c r="F5" s="11" t="n">
        <x:v>0.04</x:v>
      </x:c>
      <x:c r="G5" s="1"/>
      <x:c r="H5" s="1"/>
    </x:row>
    <x:row r="6" ht="22" customHeight="1">
      <x:c r="A6" s="11" t="n">
        <x:v>0.09</x:v>
      </x:c>
      <x:c r="B6" s="22" t="n">
        <x:f>IF($A6&gt;B$5,SUMPRODUCT('Forecast'!B24:F24,1/(1+$A6)^'Forecast'!B6:F6)+(((('Forecast'!F9*(1+B$5)*'Forecast'!F10-'Assumptions'!F54)*(1-'Forecast'!F12)+'Forecast'!F9*(1+B$5)*('Assumptions'!F39-'Assumptions'!F44)-'Forecast'!F9*B$5*'Assumptions'!F49)/($A6-B$5)+'Forecast'!F32+'Assumptions'!B10)/'Forecast'!F28)/(1+$A6)^'Forecast'!F6,"WITHHELD")</x:f>
        <x:v>271.4065719747517</x:v>
      </x:c>
      <x:c r="C6" s="22" t="n">
        <x:f>IF($A6&gt;C$5,SUMPRODUCT('Forecast'!B24:F24,1/(1+$A6)^'Forecast'!B6:F6)+(((('Forecast'!F9*(1+C$5)*'Forecast'!F10-'Assumptions'!F54)*(1-'Forecast'!F12)+'Forecast'!F9*(1+C$5)*('Assumptions'!F39-'Assumptions'!F44)-'Forecast'!F9*C$5*'Assumptions'!F49)/($A6-C$5)+'Forecast'!F32+'Assumptions'!B10)/'Forecast'!F28)/(1+$A6)^'Forecast'!F6,"WITHHELD")</x:f>
        <x:v>302.26895973519356</x:v>
      </x:c>
      <x:c r="D6" s="22" t="n">
        <x:f>IF($A6&gt;D$5,SUMPRODUCT('Forecast'!B24:F24,1/(1+$A6)^'Forecast'!B6:F6)+(((('Forecast'!F9*(1+D$5)*'Forecast'!F10-'Assumptions'!F54)*(1-'Forecast'!F12)+'Forecast'!F9*(1+D$5)*('Assumptions'!F39-'Assumptions'!F44)-'Forecast'!F9*D$5*'Assumptions'!F49)/($A6-D$5)+'Forecast'!F32+'Assumptions'!B10)/'Forecast'!F28)/(1+$A6)^'Forecast'!F6,"WITHHELD")</x:f>
        <x:v>343.4188100824493</x:v>
      </x:c>
      <x:c r="E6" s="22" t="n">
        <x:f>IF($A6&gt;E$5,SUMPRODUCT('Forecast'!B24:F24,1/(1+$A6)^'Forecast'!B6:F6)+(((('Forecast'!F9*(1+E$5)*'Forecast'!F10-'Assumptions'!F54)*(1-'Forecast'!F12)+'Forecast'!F9*(1+E$5)*('Assumptions'!F39-'Assumptions'!F44)-'Forecast'!F9*E$5*'Assumptions'!F49)/($A6-E$5)+'Forecast'!F32+'Assumptions'!B10)/'Forecast'!F28)/(1+$A6)^'Forecast'!F6,"WITHHELD")</x:f>
        <x:v>369.6050784852483</x:v>
      </x:c>
      <x:c r="F6" s="22" t="n">
        <x:f>IF($A6&gt;F$5,SUMPRODUCT('Forecast'!B24:F24,1/(1+$A6)^'Forecast'!B6:F6)+(((('Forecast'!F9*(1+F$5)*'Forecast'!F10-'Assumptions'!F54)*(1-'Forecast'!F12)+'Forecast'!F9*(1+F$5)*('Assumptions'!F39-'Assumptions'!F44)-'Forecast'!F9*F$5*'Assumptions'!F49)/($A6-F$5)+'Forecast'!F32+'Assumptions'!B10)/'Forecast'!F28)/(1+$A6)^'Forecast'!F6,"WITHHELD")</x:f>
        <x:v>401.02860056860726</x:v>
      </x:c>
      <x:c r="G6" s="1"/>
      <x:c r="H6" s="1"/>
    </x:row>
    <x:row r="7" ht="22" customHeight="1">
      <x:c r="A7" s="11" t="n">
        <x:v>0.1</x:v>
      </x:c>
      <x:c r="B7" s="22" t="n">
        <x:f>IF($A7&gt;B$5,SUMPRODUCT('Forecast'!B24:F24,1/(1+$A7)^'Forecast'!B6:F6)+(((('Forecast'!F9*(1+B$5)*'Forecast'!F10-'Assumptions'!F54)*(1-'Forecast'!F12)+'Forecast'!F9*(1+B$5)*('Assumptions'!F39-'Assumptions'!F44)-'Forecast'!F9*B$5*'Assumptions'!F49)/($A7-B$5)+'Forecast'!F32+'Assumptions'!B10)/'Forecast'!F28)/(1+$A7)^'Forecast'!F6,"WITHHELD")</x:f>
        <x:v>237.7455153212605</x:v>
      </x:c>
      <x:c r="C7" s="22" t="n">
        <x:f>IF($A7&gt;C$5,SUMPRODUCT('Forecast'!B24:F24,1/(1+$A7)^'Forecast'!B6:F6)+(((('Forecast'!F9*(1+C$5)*'Forecast'!F10-'Assumptions'!F54)*(1-'Forecast'!F12)+'Forecast'!F9*(1+C$5)*('Assumptions'!F39-'Assumptions'!F44)-'Forecast'!F9*C$5*'Assumptions'!F49)/($A7-C$5)+'Forecast'!F32+'Assumptions'!B10)/'Forecast'!F28)/(1+$A7)^'Forecast'!F6,"WITHHELD")</x:f>
        <x:v>260.8515711725575</x:v>
      </x:c>
      <x:c r="D7" s="22" t="n">
        <x:f>IF($A7&gt;D$5,SUMPRODUCT('Forecast'!B24:F24,1/(1+$A7)^'Forecast'!B6:F6)+(((('Forecast'!F9*(1+D$5)*'Forecast'!F10-'Assumptions'!F54)*(1-'Forecast'!F12)+'Forecast'!F9*(1+D$5)*('Assumptions'!F39-'Assumptions'!F44)-'Forecast'!F9*D$5*'Assumptions'!F49)/($A7-D$5)+'Forecast'!F32+'Assumptions'!B10)/'Forecast'!F28)/(1+$A7)^'Forecast'!F6,"WITHHELD")</x:f>
        <x:v>290.5593572670821</x:v>
      </x:c>
      <x:c r="E7" s="22" t="n">
        <x:f>IF($A7&gt;E$5,SUMPRODUCT('Forecast'!B24:F24,1/(1+$A7)^'Forecast'!B6:F6)+(((('Forecast'!F9*(1+E$5)*'Forecast'!F10-'Assumptions'!F54)*(1-'Forecast'!F12)+'Forecast'!F9*(1+E$5)*('Assumptions'!F39-'Assumptions'!F44)-'Forecast'!F9*E$5*'Assumptions'!F49)/($A7-E$5)+'Forecast'!F32+'Assumptions'!B10)/'Forecast'!F28)/(1+$A7)^'Forecast'!F6,"WITHHELD")</x:f>
        <x:v>308.84107178678954</x:v>
      </x:c>
      <x:c r="F7" s="22" t="n">
        <x:f>IF($A7&gt;F$5,SUMPRODUCT('Forecast'!B24:F24,1/(1+$A7)^'Forecast'!B6:F6)+(((('Forecast'!F9*(1+F$5)*'Forecast'!F10-'Assumptions'!F54)*(1-'Forecast'!F12)+'Forecast'!F9*(1+F$5)*('Assumptions'!F39-'Assumptions'!F44)-'Forecast'!F9*F$5*'Assumptions'!F49)/($A7-F$5)+'Forecast'!F32+'Assumptions'!B10)/'Forecast'!F28)/(1+$A7)^'Forecast'!F6,"WITHHELD")</x:f>
        <x:v>330.1697387264482</x:v>
      </x:c>
      <x:c r="G7" s="1"/>
      <x:c r="H7" s="1"/>
    </x:row>
    <x:row r="8" ht="22" customHeight="1">
      <x:c r="A8" s="11" t="n">
        <x:v>0.11</x:v>
      </x:c>
      <x:c r="B8" s="22" t="n">
        <x:f>IF($A8&gt;B$5,SUMPRODUCT('Forecast'!B24:F24,1/(1+$A8)^'Forecast'!B6:F6)+(((('Forecast'!F9*(1+B$5)*'Forecast'!F10-'Assumptions'!F54)*(1-'Forecast'!F12)+'Forecast'!F9*(1+B$5)*('Assumptions'!F39-'Assumptions'!F44)-'Forecast'!F9*B$5*'Assumptions'!F49)/($A8-B$5)+'Forecast'!F32+'Assumptions'!B10)/'Forecast'!F28)/(1+$A8)^'Forecast'!F6,"WITHHELD")</x:f>
        <x:v>210.75247969889142</x:v>
      </x:c>
      <x:c r="C8" s="22" t="n">
        <x:f>IF($A8&gt;C$5,SUMPRODUCT('Forecast'!B24:F24,1/(1+$A8)^'Forecast'!B6:F6)+(((('Forecast'!F9*(1+C$5)*'Forecast'!F10-'Assumptions'!F54)*(1-'Forecast'!F12)+'Forecast'!F9*(1+C$5)*('Assumptions'!F39-'Assumptions'!F44)-'Forecast'!F9*C$5*'Assumptions'!F49)/($A8-C$5)+'Forecast'!F32+'Assumptions'!B10)/'Forecast'!F28)/(1+$A8)^'Forecast'!F6,"WITHHELD")</x:f>
        <x:v>228.55213171100038</x:v>
      </x:c>
      <x:c r="D8" s="22" t="n">
        <x:f>IF($A8&gt;D$5,SUMPRODUCT('Forecast'!B24:F24,1/(1+$A8)^'Forecast'!B6:F6)+(((('Forecast'!F9*(1+D$5)*'Forecast'!F10-'Assumptions'!F54)*(1-'Forecast'!F12)+'Forecast'!F9*(1+D$5)*('Assumptions'!F39-'Assumptions'!F44)-'Forecast'!F9*D$5*'Assumptions'!F49)/($A8-D$5)+'Forecast'!F32+'Assumptions'!B10)/'Forecast'!F28)/(1+$A8)^'Forecast'!F6,"WITHHELD")</x:f>
        <x:v>250.80169672613647</x:v>
      </x:c>
      <x:c r="E8" s="22" t="n">
        <x:f>IF($A8&gt;E$5,SUMPRODUCT('Forecast'!B24:F24,1/(1+$A8)^'Forecast'!B6:F6)+(((('Forecast'!F9*(1+E$5)*'Forecast'!F10-'Assumptions'!F54)*(1-'Forecast'!F12)+'Forecast'!F9*(1+E$5)*('Assumptions'!F39-'Assumptions'!F44)-'Forecast'!F9*E$5*'Assumptions'!F49)/($A8-E$5)+'Forecast'!F32+'Assumptions'!B10)/'Forecast'!F28)/(1+$A8)^'Forecast'!F6,"WITHHELD")</x:f>
        <x:v>264.1514357352181</x:v>
      </x:c>
      <x:c r="F8" s="22" t="n">
        <x:f>IF($A8&gt;F$5,SUMPRODUCT('Forecast'!B24:F24,1/(1+$A8)^'Forecast'!B6:F6)+(((('Forecast'!F9*(1+F$5)*'Forecast'!F10-'Assumptions'!F54)*(1-'Forecast'!F12)+'Forecast'!F9*(1+F$5)*('Assumptions'!F39-'Assumptions'!F44)-'Forecast'!F9*F$5*'Assumptions'!F49)/($A8-F$5)+'Forecast'!F32+'Assumptions'!B10)/'Forecast'!F28)/(1+$A8)^'Forecast'!F6,"WITHHELD")</x:f>
        <x:v>279.40828031702574</x:v>
      </x:c>
      <x:c r="G8" s="1"/>
      <x:c r="H8" s="1"/>
    </x:row>
    <x:row r="9" ht="22" customHeight="1">
      <x:c r="A9" s="11" t="n">
        <x:v>0.12</x:v>
      </x:c>
      <x:c r="B9" s="22" t="n">
        <x:f>IF($A9&gt;B$5,SUMPRODUCT('Forecast'!B24:F24,1/(1+$A9)^'Forecast'!B6:F6)+(((('Forecast'!F9*(1+B$5)*'Forecast'!F10-'Assumptions'!F54)*(1-'Forecast'!F12)+'Forecast'!F9*(1+B$5)*('Assumptions'!F39-'Assumptions'!F44)-'Forecast'!F9*B$5*'Assumptions'!F49)/($A9-B$5)+'Forecast'!F32+'Assumptions'!B10)/'Forecast'!F28)/(1+$A9)^'Forecast'!F6,"WITHHELD")</x:f>
        <x:v>188.62174060486998</x:v>
      </x:c>
      <x:c r="C9" s="22" t="n">
        <x:f>IF($A9&gt;C$5,SUMPRODUCT('Forecast'!B24:F24,1/(1+$A9)^'Forecast'!B6:F6)+(((('Forecast'!F9*(1+C$5)*'Forecast'!F10-'Assumptions'!F54)*(1-'Forecast'!F12)+'Forecast'!F9*(1+C$5)*('Assumptions'!F39-'Assumptions'!F44)-'Forecast'!F9*C$5*'Assumptions'!F49)/($A9-C$5)+'Forecast'!F32+'Assumptions'!B10)/'Forecast'!F28)/(1+$A9)^'Forecast'!F6,"WITHHELD")</x:f>
        <x:v>202.65017253740163</x:v>
      </x:c>
      <x:c r="D9" s="22" t="n">
        <x:f>IF($A9&gt;D$5,SUMPRODUCT('Forecast'!B24:F24,1/(1+$A9)^'Forecast'!B6:F6)+(((('Forecast'!F9*(1+D$5)*'Forecast'!F10-'Assumptions'!F54)*(1-'Forecast'!F12)+'Forecast'!F9*(1+D$5)*('Assumptions'!F39-'Assumptions'!F44)-'Forecast'!F9*D$5*'Assumptions'!F49)/($A9-D$5)+'Forecast'!F32+'Assumptions'!B10)/'Forecast'!F28)/(1+$A9)^'Forecast'!F6,"WITHHELD")</x:f>
        <x:v>219.79603378827352</x:v>
      </x:c>
      <x:c r="E9" s="22" t="n">
        <x:f>IF($A9&gt;E$5,SUMPRODUCT('Forecast'!B24:F24,1/(1+$A9)^'Forecast'!B6:F6)+(((('Forecast'!F9*(1+E$5)*'Forecast'!F10-'Assumptions'!F54)*(1-'Forecast'!F12)+'Forecast'!F9*(1+E$5)*('Assumptions'!F39-'Assumptions'!F44)-'Forecast'!F9*E$5*'Assumptions'!F49)/($A9-E$5)+'Forecast'!F32+'Assumptions'!B10)/'Forecast'!F28)/(1+$A9)^'Forecast'!F6,"WITHHELD")</x:f>
        <x:v>229.88183452408046</x:v>
      </x:c>
      <x:c r="F9" s="22" t="n">
        <x:f>IF($A9&gt;F$5,SUMPRODUCT('Forecast'!B24:F24,1/(1+$A9)^'Forecast'!B6:F6)+(((('Forecast'!F9*(1+F$5)*'Forecast'!F10-'Assumptions'!F54)*(1-'Forecast'!F12)+'Forecast'!F9*(1+F$5)*('Assumptions'!F39-'Assumptions'!F44)-'Forecast'!F9*F$5*'Assumptions'!F49)/($A9-F$5)+'Forecast'!F32+'Assumptions'!B10)/'Forecast'!F28)/(1+$A9)^'Forecast'!F6,"WITHHELD")</x:f>
        <x:v>241.2283603518634</x:v>
      </x:c>
      <x:c r="G9" s="1"/>
      <x:c r="H9" s="1"/>
    </x:row>
    <x:row r="10" ht="22" customHeight="1">
      <x:c r="A10" s="11" t="n">
        <x:v>0.13</x:v>
      </x:c>
      <x:c r="B10" s="22" t="n">
        <x:f>IF($A10&gt;B$5,SUMPRODUCT('Forecast'!B24:F24,1/(1+$A10)^'Forecast'!B6:F6)+(((('Forecast'!F9*(1+B$5)*'Forecast'!F10-'Assumptions'!F54)*(1-'Forecast'!F12)+'Forecast'!F9*(1+B$5)*('Assumptions'!F39-'Assumptions'!F44)-'Forecast'!F9*B$5*'Assumptions'!F49)/($A10-B$5)+'Forecast'!F32+'Assumptions'!B10)/'Forecast'!F28)/(1+$A10)^'Forecast'!F6,"WITHHELD")</x:f>
        <x:v>170.14822150673447</x:v>
      </x:c>
      <x:c r="C10" s="22" t="n">
        <x:f>IF($A10&gt;C$5,SUMPRODUCT('Forecast'!B24:F24,1/(1+$A10)^'Forecast'!B6:F6)+(((('Forecast'!F9*(1+C$5)*'Forecast'!F10-'Assumptions'!F54)*(1-'Forecast'!F12)+'Forecast'!F9*(1+C$5)*('Assumptions'!F39-'Assumptions'!F44)-'Forecast'!F9*C$5*'Assumptions'!F49)/($A10-C$5)+'Forecast'!F32+'Assumptions'!B10)/'Forecast'!F28)/(1+$A10)^'Forecast'!F6,"WITHHELD")</x:f>
        <x:v>181.41306045189853</x:v>
      </x:c>
      <x:c r="D10" s="22" t="n">
        <x:f>IF($A10&gt;D$5,SUMPRODUCT('Forecast'!B24:F24,1/(1+$A10)^'Forecast'!B6:F6)+(((('Forecast'!F9*(1+D$5)*'Forecast'!F10-'Assumptions'!F54)*(1-'Forecast'!F12)+'Forecast'!F9*(1+D$5)*('Assumptions'!F39-'Assumptions'!F44)-'Forecast'!F9*D$5*'Assumptions'!F49)/($A10-D$5)+'Forecast'!F32+'Assumptions'!B10)/'Forecast'!F28)/(1+$A10)^'Forecast'!F6,"WITHHELD")</x:f>
        <x:v>194.93086718609527</x:v>
      </x:c>
      <x:c r="E10" s="22" t="n">
        <x:f>IF($A10&gt;E$5,SUMPRODUCT('Forecast'!B24:F24,1/(1+$A10)^'Forecast'!B6:F6)+(((('Forecast'!F9*(1+E$5)*'Forecast'!F10-'Assumptions'!F54)*(1-'Forecast'!F12)+'Forecast'!F9*(1+E$5)*('Assumptions'!F39-'Assumptions'!F44)-'Forecast'!F9*E$5*'Assumptions'!F49)/($A10-E$5)+'Forecast'!F32+'Assumptions'!B10)/'Forecast'!F28)/(1+$A10)^'Forecast'!F6,"WITHHELD")</x:f>
        <x:v>202.75696582168288</x:v>
      </x:c>
      <x:c r="F10" s="22" t="n">
        <x:f>IF($A10&gt;F$5,SUMPRODUCT('Forecast'!B24:F24,1/(1+$A10)^'Forecast'!B6:F6)+(((('Forecast'!F9*(1+F$5)*'Forecast'!F10-'Assumptions'!F54)*(1-'Forecast'!F12)+'Forecast'!F9*(1+F$5)*('Assumptions'!F39-'Assumptions'!F44)-'Forecast'!F9*F$5*'Assumptions'!F49)/($A10-F$5)+'Forecast'!F32+'Assumptions'!B10)/'Forecast'!F28)/(1+$A10)^'Forecast'!F6,"WITHHELD")</x:f>
        <x:v>211.45263097233578</x:v>
      </x:c>
      <x:c r="G10" s="1"/>
      <x:c r="H10" s="1"/>
    </x:row>
    <x:row r="11" ht="22" customHeight="1">
      <x:c r="A11" s="1"/>
      <x:c r="B11" s="1"/>
      <x:c r="C11" s="1"/>
      <x:c r="D11" s="1"/>
      <x:c r="E11" s="1"/>
      <x:c r="F11" s="1"/>
      <x:c r="G11" s="1"/>
      <x:c r="H11" s="1"/>
    </x:row>
    <x:row r="12" ht="22" customHeight="1">
      <x:c r="A12" s="1"/>
      <x:c r="B12" s="1"/>
      <x:c r="C12" s="1"/>
      <x:c r="D12" s="1"/>
      <x:c r="E12" s="1"/>
      <x:c r="F12" s="1"/>
      <x:c r="G12" s="1"/>
      <x:c r="H12" s="1"/>
    </x:row>
    <x:row r="13" ht="22" customHeight="1">
      <x:c r="A13" s="1" t="str">
        <x:v>Additional existing ownership +5%</x:v>
      </x:c>
      <x:c r="B13" s="22" t="n">
        <x:f>'Outputs'!B6/1.05</x:f>
        <x:v>238.85875878679664</x:v>
      </x:c>
      <x:c r="C13" s="1"/>
      <x:c r="D13" s="1"/>
      <x:c r="E13" s="1"/>
      <x:c r="F13" s="1"/>
      <x:c r="G13" s="1"/>
      <x:c r="H13" s="1"/>
    </x:row>
    <x:row r="14" ht="22" customHeight="1">
      <x:c r="A14" s="1"/>
      <x:c r="B14" s="1"/>
      <x:c r="C14" s="1"/>
      <x:c r="D14" s="1"/>
      <x:c r="E14" s="1"/>
      <x:c r="F14" s="1"/>
      <x:c r="G14" s="1"/>
      <x:c r="H14" s="1"/>
    </x:row>
    <x:row r="15" ht="22" customHeight="1">
      <x:c r="A15" s="1" t="str">
        <x:v>These are sensitivities, not assigned scenario probabilities.</x:v>
      </x:c>
      <x:c r="B15" s="1"/>
      <x:c r="C15" s="1"/>
      <x:c r="D15" s="1"/>
      <x:c r="E15" s="1"/>
      <x:c r="F15" s="1"/>
      <x:c r="G15" s="1"/>
      <x:c r="H15" s="1"/>
    </x:row>
    <x:row r="16" ht="22" customHeight="1">
      <x:c r="A16" s="1"/>
      <x:c r="B16" s="1"/>
      <x:c r="C16" s="1"/>
      <x:c r="D16" s="1"/>
      <x:c r="E16" s="1"/>
      <x:c r="F16" s="1"/>
      <x:c r="G16" s="1"/>
      <x:c r="H16" s="1"/>
    </x:row>
    <x:row r="17" ht="22" customHeight="1">
      <x:c r="A17" s="1"/>
      <x:c r="B17" s="1"/>
      <x:c r="C17" s="1"/>
      <x:c r="D17" s="1"/>
      <x:c r="E17" s="1"/>
      <x:c r="F17" s="1"/>
      <x:c r="G17" s="1"/>
      <x:c r="H17" s="1"/>
    </x:row>
    <x:row r="18" ht="22" customHeight="1">
      <x:c r="A18" s="1"/>
      <x:c r="B18" s="1"/>
      <x:c r="C18" s="1"/>
      <x:c r="D18" s="1"/>
      <x:c r="E18" s="1"/>
      <x:c r="F18" s="1"/>
      <x:c r="G18" s="1"/>
      <x:c r="H18" s="1"/>
    </x:row>
    <x:row r="19" ht="22" customHeight="1">
      <x:c r="A19" s="1"/>
      <x:c r="B19" s="1"/>
      <x:c r="C19" s="1"/>
      <x:c r="D19" s="1"/>
      <x:c r="E19" s="1"/>
      <x:c r="F19" s="1"/>
      <x:c r="G19" s="1"/>
      <x:c r="H19" s="1"/>
    </x:row>
    <x:row r="20" ht="22" customHeight="1">
      <x:c r="A20" s="1"/>
      <x:c r="B20" s="1"/>
      <x:c r="C20" s="1"/>
      <x:c r="D20" s="1"/>
      <x:c r="E20" s="1"/>
      <x:c r="F20" s="1"/>
      <x:c r="G20" s="1"/>
      <x:c r="H20" s="1"/>
    </x:row>
    <x:row r="21" ht="22" customHeight="1">
      <x:c r="A21" s="1"/>
      <x:c r="B21" s="1"/>
      <x:c r="C21" s="1"/>
      <x:c r="D21" s="1"/>
      <x:c r="E21" s="1"/>
      <x:c r="F21" s="1"/>
      <x:c r="G21" s="1"/>
      <x:c r="H21" s="1"/>
    </x:row>
    <x:row r="22" ht="22" customHeight="1">
      <x:c r="A22" s="1"/>
      <x:c r="B22" s="1"/>
      <x:c r="C22" s="1"/>
      <x:c r="D22" s="1"/>
      <x:c r="E22" s="1"/>
      <x:c r="F22" s="1"/>
      <x:c r="G22" s="1"/>
      <x:c r="H22" s="1"/>
    </x:row>
    <x:row r="23" ht="22" customHeight="1">
      <x:c r="A23" s="1"/>
      <x:c r="B23" s="1"/>
      <x:c r="C23" s="1"/>
      <x:c r="D23" s="1"/>
      <x:c r="E23" s="1"/>
      <x:c r="F23" s="1"/>
      <x:c r="G23" s="1"/>
      <x:c r="H23" s="1"/>
    </x:row>
    <x:row r="24" ht="22" customHeight="1">
      <x:c r="A24" s="1"/>
      <x:c r="B24" s="1"/>
      <x:c r="C24" s="1"/>
      <x:c r="D24" s="1"/>
      <x:c r="E24" s="1"/>
      <x:c r="F24" s="1"/>
      <x:c r="G24" s="1"/>
      <x:c r="H24" s="1"/>
    </x:row>
    <x:row r="25" ht="22" customHeight="1">
      <x:c r="A25" s="1"/>
      <x:c r="B25" s="1"/>
      <x:c r="C25" s="1"/>
      <x:c r="D25" s="1"/>
      <x:c r="E25" s="1"/>
      <x:c r="F25" s="1"/>
      <x:c r="G25" s="1"/>
      <x:c r="H25" s="1"/>
    </x:row>
    <x:row r="26" ht="22" customHeight="1">
      <x:c r="A26" s="1"/>
      <x:c r="B26" s="1"/>
      <x:c r="C26" s="1"/>
      <x:c r="D26" s="1"/>
      <x:c r="E26" s="1"/>
      <x:c r="F26" s="1"/>
      <x:c r="G26" s="1"/>
      <x:c r="H26" s="1"/>
    </x:row>
    <x:row r="27" ht="22" customHeight="1">
      <x:c r="A27" s="1"/>
      <x:c r="B27" s="1"/>
      <x:c r="C27" s="1"/>
      <x:c r="D27" s="1"/>
      <x:c r="E27" s="1"/>
      <x:c r="F27" s="1"/>
      <x:c r="G27" s="1"/>
      <x:c r="H27" s="1"/>
    </x:row>
    <x:row r="28" ht="22" customHeight="1">
      <x:c r="A28" s="1"/>
      <x:c r="B28" s="1"/>
      <x:c r="C28" s="1"/>
      <x:c r="D28" s="1"/>
      <x:c r="E28" s="1"/>
      <x:c r="F28" s="1"/>
      <x:c r="G28" s="1"/>
      <x:c r="H28" s="1"/>
    </x:row>
    <x:row r="29" ht="22" customHeight="1">
      <x:c r="A29" s="1"/>
      <x:c r="B29" s="1"/>
      <x:c r="C29" s="1"/>
      <x:c r="D29" s="1"/>
      <x:c r="E29" s="1"/>
      <x:c r="F29" s="1"/>
      <x:c r="G29" s="1"/>
      <x:c r="H29" s="1"/>
    </x:row>
    <x:row r="30" ht="22" customHeight="1">
      <x:c r="A30" s="1"/>
      <x:c r="B30" s="1"/>
      <x:c r="C30" s="1"/>
      <x:c r="D30" s="1"/>
      <x:c r="E30" s="1"/>
      <x:c r="F30" s="1"/>
      <x:c r="G30" s="1"/>
      <x:c r="H30" s="1"/>
    </x:row>
    <x:row r="31" ht="22" customHeight="1">
      <x:c r="A31" s="1"/>
      <x:c r="B31" s="1"/>
      <x:c r="C31" s="1"/>
      <x:c r="D31" s="1"/>
      <x:c r="E31" s="1"/>
      <x:c r="F31" s="1"/>
      <x:c r="G31" s="1"/>
      <x:c r="H31" s="1"/>
    </x:row>
    <x:row r="32" ht="22" customHeight="1">
      <x:c r="A32" s="1"/>
      <x:c r="B32" s="1"/>
      <x:c r="C32" s="1"/>
      <x:c r="D32" s="1"/>
      <x:c r="E32" s="1"/>
      <x:c r="F32" s="1"/>
      <x:c r="G32" s="1"/>
      <x:c r="H32" s="1"/>
    </x:row>
    <x:row r="33" ht="22" customHeight="1">
      <x:c r="A33" s="1"/>
      <x:c r="B33" s="1"/>
      <x:c r="C33" s="1"/>
      <x:c r="D33" s="1"/>
      <x:c r="E33" s="1"/>
      <x:c r="F33" s="1"/>
      <x:c r="G33" s="1"/>
      <x:c r="H33" s="1"/>
    </x:row>
    <x:row r="34" ht="22" customHeight="1">
      <x:c r="A34" s="1"/>
      <x:c r="B34" s="1"/>
      <x:c r="C34" s="1"/>
      <x:c r="D34" s="1"/>
      <x:c r="E34" s="1"/>
      <x:c r="F34" s="1"/>
      <x:c r="G34" s="1"/>
      <x:c r="H34" s="1"/>
    </x:row>
    <x:row r="35" ht="22" customHeight="1">
      <x:c r="A35" s="1"/>
      <x:c r="B35" s="1"/>
      <x:c r="C35" s="1"/>
      <x:c r="D35" s="1"/>
      <x:c r="E35" s="1"/>
      <x:c r="F35" s="1"/>
      <x:c r="G35" s="1"/>
      <x:c r="H35" s="1"/>
    </x:row>
    <x:row r="36" ht="22" customHeight="1">
      <x:c r="A36" s="1"/>
      <x:c r="B36" s="1"/>
      <x:c r="C36" s="1"/>
      <x:c r="D36" s="1"/>
      <x:c r="E36" s="1"/>
      <x:c r="F36" s="1"/>
      <x:c r="G36" s="1"/>
      <x:c r="H36" s="1"/>
    </x:row>
    <x:row r="37" ht="22" customHeight="1">
      <x:c r="A37" s="1"/>
      <x:c r="B37" s="1"/>
      <x:c r="C37" s="1"/>
      <x:c r="D37" s="1"/>
      <x:c r="E37" s="1"/>
      <x:c r="F37" s="1"/>
      <x:c r="G37" s="1"/>
      <x:c r="H37" s="1"/>
    </x:row>
    <x:row r="38" ht="22" customHeight="1">
      <x:c r="A38" s="1"/>
      <x:c r="B38" s="1"/>
      <x:c r="C38" s="1"/>
      <x:c r="D38" s="1"/>
      <x:c r="E38" s="1"/>
      <x:c r="F38" s="1"/>
      <x:c r="G38" s="1"/>
      <x:c r="H38" s="1"/>
    </x:row>
    <x:row r="39" ht="22" customHeight="1">
      <x:c r="A39" s="1"/>
      <x:c r="B39" s="1"/>
      <x:c r="C39" s="1"/>
      <x:c r="D39" s="1"/>
      <x:c r="E39" s="1"/>
      <x:c r="F39" s="1"/>
      <x:c r="G39" s="1"/>
      <x:c r="H39" s="1"/>
    </x:row>
    <x:row r="40" ht="22" customHeight="1">
      <x:c r="A40" s="1"/>
      <x:c r="B40" s="1"/>
      <x:c r="C40" s="1"/>
      <x:c r="D40" s="1"/>
      <x:c r="E40" s="1"/>
      <x:c r="F40" s="1"/>
      <x:c r="G40" s="1"/>
      <x:c r="H40" s="1"/>
    </x:row>
    <x:row r="41" ht="22" customHeight="1">
      <x:c r="A41" s="1"/>
      <x:c r="B41" s="1"/>
      <x:c r="C41" s="1"/>
      <x:c r="D41" s="1"/>
      <x:c r="E41" s="1"/>
      <x:c r="F41" s="1"/>
      <x:c r="G41" s="1"/>
      <x:c r="H41" s="1"/>
    </x:row>
    <x:row r="42" ht="22" customHeight="1">
      <x:c r="A42" s="1"/>
      <x:c r="B42" s="1"/>
      <x:c r="C42" s="1"/>
      <x:c r="D42" s="1"/>
      <x:c r="E42" s="1"/>
      <x:c r="F42" s="1"/>
      <x:c r="G42" s="1"/>
      <x:c r="H42" s="1"/>
    </x:row>
    <x:row r="43" ht="22" customHeight="1">
      <x:c r="A43" s="1"/>
      <x:c r="B43" s="1"/>
      <x:c r="C43" s="1"/>
      <x:c r="D43" s="1"/>
      <x:c r="E43" s="1"/>
      <x:c r="F43" s="1"/>
      <x:c r="G43" s="1"/>
      <x:c r="H43" s="1"/>
    </x:row>
    <x:row r="44" ht="22" customHeight="1">
      <x:c r="A44" s="1"/>
      <x:c r="B44" s="1"/>
      <x:c r="C44" s="1"/>
      <x:c r="D44" s="1"/>
      <x:c r="E44" s="1"/>
      <x:c r="F44" s="1"/>
      <x:c r="G44" s="1"/>
      <x:c r="H44" s="1"/>
    </x:row>
    <x:row r="45" ht="22" customHeight="1">
      <x:c r="A45" s="1"/>
      <x:c r="B45" s="1"/>
      <x:c r="C45" s="1"/>
      <x:c r="D45" s="1"/>
      <x:c r="E45" s="1"/>
      <x:c r="F45" s="1"/>
      <x:c r="G45" s="1"/>
      <x:c r="H45" s="1"/>
    </x:row>
    <x:row r="46" ht="22" customHeight="1">
      <x:c r="A46" s="1"/>
      <x:c r="B46" s="1"/>
      <x:c r="C46" s="1"/>
      <x:c r="D46" s="1"/>
      <x:c r="E46" s="1"/>
      <x:c r="F46" s="1"/>
      <x:c r="G46" s="1"/>
      <x:c r="H46" s="1"/>
    </x:row>
    <x:row r="47" ht="22" customHeight="1">
      <x:c r="A47" s="1"/>
      <x:c r="B47" s="1"/>
      <x:c r="C47" s="1"/>
      <x:c r="D47" s="1"/>
      <x:c r="E47" s="1"/>
      <x:c r="F47" s="1"/>
      <x:c r="G47" s="1"/>
      <x:c r="H47" s="1"/>
    </x:row>
    <x:row r="48" ht="22" customHeight="1">
      <x:c r="A48" s="1"/>
      <x:c r="B48" s="1"/>
      <x:c r="C48" s="1"/>
      <x:c r="D48" s="1"/>
      <x:c r="E48" s="1"/>
      <x:c r="F48" s="1"/>
      <x:c r="G48" s="1"/>
      <x:c r="H48" s="1"/>
    </x:row>
    <x:row r="49" ht="22" customHeight="1">
      <x:c r="A49" s="1"/>
      <x:c r="B49" s="1"/>
      <x:c r="C49" s="1"/>
      <x:c r="D49" s="1"/>
      <x:c r="E49" s="1"/>
      <x:c r="F49" s="1"/>
      <x:c r="G49" s="1"/>
      <x:c r="H49" s="1"/>
    </x:row>
    <x:row r="50" ht="22" customHeight="1">
      <x:c r="A50" s="1"/>
      <x:c r="B50" s="1"/>
      <x:c r="C50" s="1"/>
      <x:c r="D50" s="1"/>
      <x:c r="E50" s="1"/>
      <x:c r="F50" s="1"/>
      <x:c r="G50" s="1"/>
      <x:c r="H50" s="1"/>
    </x:row>
    <x:row r="51" ht="22" customHeight="1">
      <x:c r="A51" s="1"/>
      <x:c r="B51" s="1"/>
      <x:c r="C51" s="1"/>
      <x:c r="D51" s="1"/>
      <x:c r="E51" s="1"/>
      <x:c r="F51" s="1"/>
      <x:c r="G51" s="1"/>
      <x:c r="H51" s="1"/>
    </x:row>
    <x:row r="52" ht="22" customHeight="1">
      <x:c r="A52" s="1"/>
      <x:c r="B52" s="1"/>
      <x:c r="C52" s="1"/>
      <x:c r="D52" s="1"/>
      <x:c r="E52" s="1"/>
      <x:c r="F52" s="1"/>
      <x:c r="G52" s="1"/>
      <x:c r="H52" s="1"/>
    </x:row>
    <x:row r="53" ht="22" customHeight="1">
      <x:c r="A53" s="1"/>
      <x:c r="B53" s="1"/>
      <x:c r="C53" s="1"/>
      <x:c r="D53" s="1"/>
      <x:c r="E53" s="1"/>
      <x:c r="F53" s="1"/>
      <x:c r="G53" s="1"/>
      <x:c r="H53" s="1"/>
    </x:row>
    <x:row r="54" ht="22" customHeight="1">
      <x:c r="A54" s="1"/>
      <x:c r="B54" s="1"/>
      <x:c r="C54" s="1"/>
      <x:c r="D54" s="1"/>
      <x:c r="E54" s="1"/>
      <x:c r="F54" s="1"/>
      <x:c r="G54" s="1"/>
      <x:c r="H54" s="1"/>
    </x:row>
    <x:row r="55" ht="22" customHeight="1">
      <x:c r="A55" s="1"/>
      <x:c r="B55" s="1"/>
      <x:c r="C55" s="1"/>
      <x:c r="D55" s="1"/>
      <x:c r="E55" s="1"/>
      <x:c r="F55" s="1"/>
      <x:c r="G55" s="1"/>
      <x:c r="H55" s="1"/>
    </x:row>
    <x:row r="56" ht="22" customHeight="1">
      <x:c r="A56" s="1"/>
      <x:c r="B56" s="1"/>
      <x:c r="C56" s="1"/>
      <x:c r="D56" s="1"/>
      <x:c r="E56" s="1"/>
      <x:c r="F56" s="1"/>
      <x:c r="G56" s="1"/>
      <x:c r="H56" s="1"/>
    </x:row>
    <x:row r="57" ht="22" customHeight="1">
      <x:c r="A57" s="1"/>
      <x:c r="B57" s="1"/>
      <x:c r="C57" s="1"/>
      <x:c r="D57" s="1"/>
      <x:c r="E57" s="1"/>
      <x:c r="F57" s="1"/>
      <x:c r="G57" s="1"/>
      <x:c r="H57" s="1"/>
    </x:row>
    <x:row r="58" ht="22" customHeight="1">
      <x:c r="A58" s="1"/>
      <x:c r="B58" s="1"/>
      <x:c r="C58" s="1"/>
      <x:c r="D58" s="1"/>
      <x:c r="E58" s="1"/>
      <x:c r="F58" s="1"/>
      <x:c r="G58" s="1"/>
      <x:c r="H58" s="1"/>
    </x:row>
    <x:row r="59" ht="22" customHeight="1">
      <x:c r="A59" s="1"/>
      <x:c r="B59" s="1"/>
      <x:c r="C59" s="1"/>
      <x:c r="D59" s="1"/>
      <x:c r="E59" s="1"/>
      <x:c r="F59" s="1"/>
      <x:c r="G59" s="1"/>
      <x:c r="H59" s="1"/>
    </x:row>
    <x:row r="60" ht="22" customHeight="1">
      <x:c r="A60" s="1"/>
      <x:c r="B60" s="1"/>
      <x:c r="C60" s="1"/>
      <x:c r="D60" s="1"/>
      <x:c r="E60" s="1"/>
      <x:c r="F60" s="1"/>
      <x:c r="G60" s="1"/>
      <x:c r="H60" s="1"/>
    </x:row>
    <x:row r="61" ht="22" customHeight="1">
      <x:c r="A61" s="1"/>
      <x:c r="B61" s="1"/>
      <x:c r="C61" s="1"/>
      <x:c r="D61" s="1"/>
      <x:c r="E61" s="1"/>
      <x:c r="F61" s="1"/>
      <x:c r="G61" s="1"/>
      <x:c r="H61" s="1"/>
    </x:row>
    <x:row r="62" ht="22" customHeight="1">
      <x:c r="A62" s="1"/>
      <x:c r="B62" s="1"/>
      <x:c r="C62" s="1"/>
      <x:c r="D62" s="1"/>
      <x:c r="E62" s="1"/>
      <x:c r="F62" s="1"/>
      <x:c r="G62" s="1"/>
      <x:c r="H62" s="1"/>
    </x:row>
    <x:row r="63" ht="22" customHeight="1">
      <x:c r="A63" s="1"/>
      <x:c r="B63" s="1"/>
      <x:c r="C63" s="1"/>
      <x:c r="D63" s="1"/>
      <x:c r="E63" s="1"/>
      <x:c r="F63" s="1"/>
      <x:c r="G63" s="1"/>
      <x:c r="H63" s="1"/>
    </x:row>
    <x:row r="64" ht="22" customHeight="1">
      <x:c r="A64" s="1"/>
      <x:c r="B64" s="1"/>
      <x:c r="C64" s="1"/>
      <x:c r="D64" s="1"/>
      <x:c r="E64" s="1"/>
      <x:c r="F64" s="1"/>
      <x:c r="G64" s="1"/>
      <x:c r="H64" s="1"/>
    </x:row>
    <x:row r="65" ht="22" customHeight="1">
      <x:c r="A65" s="1"/>
      <x:c r="B65" s="1"/>
      <x:c r="C65" s="1"/>
      <x:c r="D65" s="1"/>
      <x:c r="E65" s="1"/>
      <x:c r="F65" s="1"/>
      <x:c r="G65" s="1"/>
      <x:c r="H65" s="1"/>
    </x:row>
    <x:row r="66" ht="22" customHeight="1">
      <x:c r="A66" s="1"/>
      <x:c r="B66" s="1"/>
      <x:c r="C66" s="1"/>
      <x:c r="D66" s="1"/>
      <x:c r="E66" s="1"/>
      <x:c r="F66" s="1"/>
      <x:c r="G66" s="1"/>
      <x:c r="H66" s="1"/>
    </x:row>
    <x:row r="67" ht="22" customHeight="1">
      <x:c r="A67" s="1"/>
      <x:c r="B67" s="1"/>
      <x:c r="C67" s="1"/>
      <x:c r="D67" s="1"/>
      <x:c r="E67" s="1"/>
      <x:c r="F67" s="1"/>
      <x:c r="G67" s="1"/>
      <x:c r="H67" s="1"/>
    </x:row>
    <x:row r="68" ht="22" customHeight="1">
      <x:c r="A68" s="1"/>
      <x:c r="B68" s="1"/>
      <x:c r="C68" s="1"/>
      <x:c r="D68" s="1"/>
      <x:c r="E68" s="1"/>
      <x:c r="F68" s="1"/>
      <x:c r="G68" s="1"/>
      <x:c r="H68" s="1"/>
    </x:row>
    <x:row r="69" ht="22" customHeight="1">
      <x:c r="A69" s="1"/>
      <x:c r="B69" s="1"/>
      <x:c r="C69" s="1"/>
      <x:c r="D69" s="1"/>
      <x:c r="E69" s="1"/>
      <x:c r="F69" s="1"/>
      <x:c r="G69" s="1"/>
      <x:c r="H69" s="1"/>
    </x:row>
    <x:row r="70" ht="22" customHeight="1">
      <x:c r="A70" s="1"/>
      <x:c r="B70" s="1"/>
      <x:c r="C70" s="1"/>
      <x:c r="D70" s="1"/>
      <x:c r="E70" s="1"/>
      <x:c r="F70" s="1"/>
      <x:c r="G70" s="1"/>
      <x:c r="H70" s="1"/>
    </x:row>
    <x:row r="71" ht="22" customHeight="1">
      <x:c r="A71" s="1"/>
      <x:c r="B71" s="1"/>
      <x:c r="C71" s="1"/>
      <x:c r="D71" s="1"/>
      <x:c r="E71" s="1"/>
      <x:c r="F71" s="1"/>
      <x:c r="G71" s="1"/>
      <x:c r="H71" s="1"/>
    </x:row>
    <x:row r="72" ht="22" customHeight="1">
      <x:c r="A72" s="1"/>
      <x:c r="B72" s="1"/>
      <x:c r="C72" s="1"/>
      <x:c r="D72" s="1"/>
      <x:c r="E72" s="1"/>
      <x:c r="F72" s="1"/>
      <x:c r="G72" s="1"/>
      <x:c r="H72" s="1"/>
    </x:row>
    <x:row r="73" ht="22" customHeight="1">
      <x:c r="A73" s="1"/>
      <x:c r="B73" s="1"/>
      <x:c r="C73" s="1"/>
      <x:c r="D73" s="1"/>
      <x:c r="E73" s="1"/>
      <x:c r="F73" s="1"/>
      <x:c r="G73" s="1"/>
      <x:c r="H73" s="1"/>
    </x:row>
    <x:row r="74" ht="22" customHeight="1">
      <x:c r="A74" s="1"/>
      <x:c r="B74" s="1"/>
      <x:c r="C74" s="1"/>
      <x:c r="D74" s="1"/>
      <x:c r="E74" s="1"/>
      <x:c r="F74" s="1"/>
      <x:c r="G74" s="1"/>
      <x:c r="H74" s="1"/>
    </x:row>
    <x:row r="75" ht="22" customHeight="1">
      <x:c r="A75" s="1"/>
      <x:c r="B75" s="1"/>
      <x:c r="C75" s="1"/>
      <x:c r="D75" s="1"/>
      <x:c r="E75" s="1"/>
      <x:c r="F75" s="1"/>
      <x:c r="G75" s="1"/>
      <x:c r="H75" s="1"/>
    </x:row>
    <x:row r="76" ht="22" customHeight="1">
      <x:c r="A76" s="1"/>
      <x:c r="B76" s="1"/>
      <x:c r="C76" s="1"/>
      <x:c r="D76" s="1"/>
      <x:c r="E76" s="1"/>
      <x:c r="F76" s="1"/>
      <x:c r="G76" s="1"/>
      <x:c r="H76" s="1"/>
    </x:row>
    <x:row r="77" ht="22" customHeight="1">
      <x:c r="A77" s="1"/>
      <x:c r="B77" s="1"/>
      <x:c r="C77" s="1"/>
      <x:c r="D77" s="1"/>
      <x:c r="E77" s="1"/>
      <x:c r="F77" s="1"/>
      <x:c r="G77" s="1"/>
      <x:c r="H77" s="1"/>
    </x:row>
    <x:row r="78" ht="22" customHeight="1">
      <x:c r="A78" s="1"/>
      <x:c r="B78" s="1"/>
      <x:c r="C78" s="1"/>
      <x:c r="D78" s="1"/>
      <x:c r="E78" s="1"/>
      <x:c r="F78" s="1"/>
      <x:c r="G78" s="1"/>
      <x:c r="H78" s="1"/>
    </x:row>
    <x:row r="79" ht="22" customHeight="1">
      <x:c r="A79" s="1"/>
      <x:c r="B79" s="1"/>
      <x:c r="C79" s="1"/>
      <x:c r="D79" s="1"/>
      <x:c r="E79" s="1"/>
      <x:c r="F79" s="1"/>
      <x:c r="G79" s="1"/>
      <x:c r="H79" s="1"/>
    </x:row>
    <x:row r="80" ht="22" customHeight="1">
      <x:c r="A80" s="1"/>
      <x:c r="B80" s="1"/>
      <x:c r="C80" s="1"/>
      <x:c r="D80" s="1"/>
      <x:c r="E80" s="1"/>
      <x:c r="F80" s="1"/>
      <x:c r="G80" s="1"/>
      <x:c r="H80" s="1"/>
    </x:row>
    <x:row r="81" ht="22" customHeight="1">
      <x:c r="A81" s="1"/>
      <x:c r="B81" s="1"/>
      <x:c r="C81" s="1"/>
      <x:c r="D81" s="1"/>
      <x:c r="E81" s="1"/>
      <x:c r="F81" s="1"/>
      <x:c r="G81" s="1"/>
      <x:c r="H81" s="1"/>
    </x:row>
    <x:row r="82" ht="22" customHeight="1">
      <x:c r="A82" s="1"/>
      <x:c r="B82" s="1"/>
      <x:c r="C82" s="1"/>
      <x:c r="D82" s="1"/>
      <x:c r="E82" s="1"/>
      <x:c r="F82" s="1"/>
      <x:c r="G82" s="1"/>
      <x:c r="H82" s="1"/>
    </x:row>
    <x:row r="83" ht="22" customHeight="1">
      <x:c r="A83" s="1"/>
      <x:c r="B83" s="1"/>
      <x:c r="C83" s="1"/>
      <x:c r="D83" s="1"/>
      <x:c r="E83" s="1"/>
      <x:c r="F83" s="1"/>
      <x:c r="G83" s="1"/>
      <x:c r="H83" s="1"/>
    </x:row>
    <x:row r="84" ht="22" customHeight="1">
      <x:c r="A84" s="1"/>
      <x:c r="B84" s="1"/>
      <x:c r="C84" s="1"/>
      <x:c r="D84" s="1"/>
      <x:c r="E84" s="1"/>
      <x:c r="F84" s="1"/>
      <x:c r="G84" s="1"/>
      <x:c r="H84" s="1"/>
    </x:row>
    <x:row r="85" ht="22" customHeight="1">
      <x:c r="A85" s="1"/>
      <x:c r="B85" s="1"/>
      <x:c r="C85" s="1"/>
      <x:c r="D85" s="1"/>
      <x:c r="E85" s="1"/>
      <x:c r="F85" s="1"/>
      <x:c r="G85" s="1"/>
      <x:c r="H85" s="1"/>
    </x:row>
    <x:row r="86" ht="22" customHeight="1">
      <x:c r="A86" s="1"/>
      <x:c r="B86" s="1"/>
      <x:c r="C86" s="1"/>
      <x:c r="D86" s="1"/>
      <x:c r="E86" s="1"/>
      <x:c r="F86" s="1"/>
      <x:c r="G86" s="1"/>
      <x:c r="H86" s="1"/>
    </x:row>
    <x:row r="87" ht="22" customHeight="1">
      <x:c r="A87" s="1"/>
      <x:c r="B87" s="1"/>
      <x:c r="C87" s="1"/>
      <x:c r="D87" s="1"/>
      <x:c r="E87" s="1"/>
      <x:c r="F87" s="1"/>
      <x:c r="G87" s="1"/>
      <x:c r="H87" s="1"/>
    </x:row>
    <x:row r="88" ht="22" customHeight="1">
      <x:c r="A88" s="1"/>
      <x:c r="B88" s="1"/>
      <x:c r="C88" s="1"/>
      <x:c r="D88" s="1"/>
      <x:c r="E88" s="1"/>
      <x:c r="F88" s="1"/>
      <x:c r="G88" s="1"/>
      <x:c r="H88" s="1"/>
    </x:row>
    <x:row r="89" ht="22" customHeight="1">
      <x:c r="A89" s="1"/>
      <x:c r="B89" s="1"/>
      <x:c r="C89" s="1"/>
      <x:c r="D89" s="1"/>
      <x:c r="E89" s="1"/>
      <x:c r="F89" s="1"/>
      <x:c r="G89" s="1"/>
      <x:c r="H89" s="1"/>
    </x:row>
    <x:row r="90" ht="22" customHeight="1">
      <x:c r="A90" s="1"/>
      <x:c r="B90" s="1"/>
      <x:c r="C90" s="1"/>
      <x:c r="D90" s="1"/>
      <x:c r="E90" s="1"/>
      <x:c r="F90" s="1"/>
      <x:c r="G90" s="1"/>
      <x:c r="H90" s="1"/>
    </x:row>
    <x:row r="91" ht="22" customHeight="1">
      <x:c r="A91" s="1"/>
      <x:c r="B91" s="1"/>
      <x:c r="C91" s="1"/>
      <x:c r="D91" s="1"/>
      <x:c r="E91" s="1"/>
      <x:c r="F91" s="1"/>
      <x:c r="G91" s="1"/>
      <x:c r="H91" s="1"/>
    </x:row>
    <x:row r="92" ht="22" customHeight="1">
      <x:c r="A92" s="1"/>
      <x:c r="B92" s="1"/>
      <x:c r="C92" s="1"/>
      <x:c r="D92" s="1"/>
      <x:c r="E92" s="1"/>
      <x:c r="F92" s="1"/>
      <x:c r="G92" s="1"/>
      <x:c r="H92" s="1"/>
    </x:row>
    <x:row r="93" ht="22" customHeight="1">
      <x:c r="A93" s="1"/>
      <x:c r="B93" s="1"/>
      <x:c r="C93" s="1"/>
      <x:c r="D93" s="1"/>
      <x:c r="E93" s="1"/>
      <x:c r="F93" s="1"/>
      <x:c r="G93" s="1"/>
      <x:c r="H93" s="1"/>
    </x:row>
    <x:row r="94" ht="22" customHeight="1">
      <x:c r="A94" s="1"/>
      <x:c r="B94" s="1"/>
      <x:c r="C94" s="1"/>
      <x:c r="D94" s="1"/>
      <x:c r="E94" s="1"/>
      <x:c r="F94" s="1"/>
      <x:c r="G94" s="1"/>
      <x:c r="H94" s="1"/>
    </x:row>
    <x:row r="95" ht="22" customHeight="1">
      <x:c r="A95" s="1"/>
      <x:c r="B95" s="1"/>
      <x:c r="C95" s="1"/>
      <x:c r="D95" s="1"/>
      <x:c r="E95" s="1"/>
      <x:c r="F95" s="1"/>
      <x:c r="G95" s="1"/>
      <x:c r="H95" s="1"/>
    </x:row>
    <x:row r="96" ht="22" customHeight="1">
      <x:c r="A96" s="1"/>
      <x:c r="B96" s="1"/>
      <x:c r="C96" s="1"/>
      <x:c r="D96" s="1"/>
      <x:c r="E96" s="1"/>
      <x:c r="F96" s="1"/>
      <x:c r="G96" s="1"/>
      <x:c r="H96" s="1"/>
    </x:row>
    <x:row r="97" ht="22" customHeight="1">
      <x:c r="A97" s="1"/>
      <x:c r="B97" s="1"/>
      <x:c r="C97" s="1"/>
      <x:c r="D97" s="1"/>
      <x:c r="E97" s="1"/>
      <x:c r="F97" s="1"/>
      <x:c r="G97" s="1"/>
      <x:c r="H97" s="1"/>
    </x:row>
    <x:row r="98" ht="22" customHeight="1">
      <x:c r="A98" s="1"/>
      <x:c r="B98" s="1"/>
      <x:c r="C98" s="1"/>
      <x:c r="D98" s="1"/>
      <x:c r="E98" s="1"/>
      <x:c r="F98" s="1"/>
      <x:c r="G98" s="1"/>
      <x:c r="H98" s="1"/>
    </x:row>
    <x:row r="99" ht="22" customHeight="1">
      <x:c r="A99" s="1"/>
      <x:c r="B99" s="1"/>
      <x:c r="C99" s="1"/>
      <x:c r="D99" s="1"/>
      <x:c r="E99" s="1"/>
      <x:c r="F99" s="1"/>
      <x:c r="G99" s="1"/>
      <x:c r="H99" s="1"/>
    </x:row>
    <x:row r="100" ht="22" customHeight="1">
      <x:c r="A100" s="1"/>
      <x:c r="B100" s="1"/>
      <x:c r="C100" s="1"/>
      <x:c r="D100" s="1"/>
      <x:c r="E100" s="1"/>
      <x:c r="F100" s="1"/>
      <x:c r="G100" s="1"/>
      <x:c r="H100" s="1"/>
    </x:row>
  </x:sheetData>
  <x:mergeCells>
    <x:mergeCell ref="A1:F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7" hidden="0" customWidth="1"/>
    <x:col min="2" max="2" width="18" hidden="0" customWidth="1"/>
    <x:col min="3" max="3" width="18" hidden="0" customWidth="1"/>
    <x:col min="4" max="4" width="66" hidden="0" customWidth="1"/>
    <x:col min="5" max="5" width="45" hidden="0" customWidth="1"/>
    <x:col min="6" max="6" width="45" hidden="0" customWidth="1"/>
    <x:col min="7" max="7" width="26" hidden="0" customWidth="1"/>
    <x:col min="8" max="8" width="26" hidden="0" customWidth="1"/>
  </x:cols>
  <x:sheetData>
    <x:row r="1" ht="34" customHeight="1">
      <x:c r="A1" s="3" t="str">
        <x:v>Read sources and preservation</x:v>
      </x:c>
      <x:c r="B1" s="3"/>
      <x:c r="C1" s="3"/>
      <x:c r="D1" s="3"/>
      <x:c r="E1" s="3"/>
      <x:c r="F1" s="3"/>
      <x:c r="G1" s="1"/>
      <x:c r="H1" s="1"/>
    </x:row>
    <x:row r="2" ht="22" customHeight="1">
      <x:c r="A2" s="1"/>
      <x:c r="B2" s="1"/>
      <x:c r="C2" s="1"/>
      <x:c r="D2" s="1"/>
      <x:c r="E2" s="1"/>
      <x:c r="F2" s="1"/>
      <x:c r="G2" s="1"/>
      <x:c r="H2" s="1"/>
    </x:row>
    <x:row r="3" ht="22" customHeight="1">
      <x:c r="A3" s="6" t="str">
        <x:v>ID / title</x:v>
      </x:c>
      <x:c r="B3" s="6" t="str">
        <x:v>Published</x:v>
      </x:c>
      <x:c r="C3" s="6" t="str">
        <x:v>Type</x:v>
      </x:c>
      <x:c r="D3" s="6" t="str">
        <x:v>URL</x:v>
      </x:c>
      <x:c r="E3" s="6" t="str">
        <x:v>Preservation</x:v>
      </x:c>
      <x:c r="F3" s="6" t="str">
        <x:v>Locations</x:v>
      </x:c>
      <x:c r="G3" s="1"/>
      <x:c r="H3" s="1"/>
    </x:row>
    <x:row r="4" ht="75" customHeight="1">
      <x:c r="A4" s="4" t="str">
        <x:v>a1 | 2025 annual filing</x:v>
      </x:c>
      <x:c r="B4" s="4" t="str">
        <x:v>2026-02-19</x:v>
      </x:c>
      <x:c r="C4" s="4" t="str">
        <x:v>filing</x:v>
      </x:c>
      <x:c r="D4" s="4" t="str">
        <x:v>https://www.sec.gov/Archives/edgar/data/1751008/000175100826000010/app-20251231.htm</x:v>
      </x:c>
      <x:c r="E4" s="4" t="str">
        <x:v>sources/2025-10k.htm</x:v>
      </x:c>
      <x:c r="F4" s="4" t="str">
        <x:v>2025 Form 10-K pp38-39 FCF reconciliation; 2025 Form 10-K, audited statements of operations p54; Business; audit opinions and critical audit matter pp50-52; commitments/debt; revenue recognition; risk factors</x:v>
      </x:c>
      <x:c r="G4" s="1"/>
      <x:c r="H4" s="1"/>
    </x:row>
    <x:row r="5" ht="75" customHeight="1">
      <x:c r="A5" s="4" t="str">
        <x:v>a2 | Q2 2026 quarterly filing</x:v>
      </x:c>
      <x:c r="B5" s="4" t="str">
        <x:v>2026-08-05</x:v>
      </x:c>
      <x:c r="C5" s="4" t="str">
        <x:v>filing</x:v>
      </x:c>
      <x:c r="D5" s="4" t="str">
        <x:v>https://www.sec.gov/Archives/edgar/data/1751008/000175100826000059/app-20260630.htm</x:v>
      </x:c>
      <x:c r="E5" s="4" t="str">
        <x:v>sources/2026-q2-10q.htm</x:v>
      </x:c>
      <x:c r="F5" s="4" t="str">
        <x:v>2026 Q2 Form 10-Q, balance sheet p3 / debt note6 / EPS note9 / risk factors; 2026 Q2 Form 10-Q, statements of operations p4; Legal proceedings and risks; MD&amp;A install volume and monetization p24; cash flow statement p8; equity/EPS/debt/lease/tax notes</x:v>
      </x:c>
      <x:c r="G5" s="1"/>
      <x:c r="H5" s="1"/>
    </x:row>
    <x:row r="6" ht="75" customHeight="1">
      <x:c r="A6" s="4" t="str">
        <x:v>a3 | 2026 proxy statement</x:v>
      </x:c>
      <x:c r="B6" s="4" t="str">
        <x:v>2026-04-21</x:v>
      </x:c>
      <x:c r="C6" s="4" t="str">
        <x:v>filing</x:v>
      </x:c>
      <x:c r="D6" s="4" t="str">
        <x:v>https://www.sec.gov/Archives/edgar/data/1751008/000175100826000028/app-20260420.htm</x:v>
      </x:c>
      <x:c r="E6" s="4" t="str">
        <x:v>sources/2026-proxy.htm</x:v>
      </x:c>
      <x:c r="F6" s="4" t="str">
        <x:v>executive compensation; governance and voting agreement</x:v>
      </x:c>
      <x:c r="G6" s="1"/>
      <x:c r="H6" s="1"/>
    </x:row>
    <x:row r="7" ht="75" customHeight="1">
      <x:c r="A7" s="4" t="str">
        <x:v>a4 | Q2 2026 results</x:v>
      </x:c>
      <x:c r="B7" s="4" t="str">
        <x:v>2026-08-05</x:v>
      </x:c>
      <x:c r="C7" s="4" t="str">
        <x:v>management</x:v>
      </x:c>
      <x:c r="D7" s="4" t="str">
        <x:v>https://investors.applovin.com/news/news-details/2026/AppLovin-Announces-Second-Quarter-2026-Financial-Results/</x:v>
      </x:c>
      <x:c r="E7" s="4" t="str">
        <x:v>sources/2026-q2-results.html</x:v>
      </x:c>
      <x:c r="F7" s="4" t="str">
        <x:v>Q2 headline results and Q3 management guidance</x:v>
      </x:c>
      <x:c r="G7" s="1"/>
      <x:c r="H7" s="1"/>
    </x:row>
    <x:row r="8" ht="75" customHeight="1">
      <x:c r="A8" s="4" t="str">
        <x:v>a5 | FY2025 results</x:v>
      </x:c>
      <x:c r="B8" s="4" t="str">
        <x:v>2026-02-11</x:v>
      </x:c>
      <x:c r="C8" s="4" t="str">
        <x:v>management</x:v>
      </x:c>
      <x:c r="D8" s="4" t="str">
        <x:v>https://investors.applovin.com/news/news-details/2026/AppLovin-Announces-Fourth-Quarter-and-Full-Year-2025-Financial-Results/default.aspx</x:v>
      </x:c>
      <x:c r="E8" s="4" t="str">
        <x:v>sources/2025-results.html</x:v>
      </x:c>
      <x:c r="F8" s="4" t="str">
        <x:v>full-year result definitions</x:v>
      </x:c>
      <x:c r="G8" s="1"/>
      <x:c r="H8" s="1"/>
    </x:row>
    <x:row r="9" ht="75" customHeight="1">
      <x:c r="A9" s="4" t="str">
        <x:v>a6 | Historical share prices</x:v>
      </x:c>
      <x:c r="B9" s="4" t="str">
        <x:v>2026-10-06</x:v>
      </x:c>
      <x:c r="C9" s="4" t="str">
        <x:v>secondary</x:v>
      </x:c>
      <x:c r="D9" s="4" t="str">
        <x:v>https://chartexchange.com/symbol/nasdaq-app/historical/</x:v>
      </x:c>
      <x:c r="E9" s="4" t="str">
        <x:v>sources/price-history.html</x:v>
      </x:c>
      <x:c r="F9" s="4" t="str">
        <x:v>historical table row 2026-10-05; Nasdaq APP Class A, close 16:00 EDT</x:v>
      </x:c>
      <x:c r="G9" s="1"/>
      <x:c r="H9" s="1"/>
    </x:row>
    <x:row r="10" ht="75" customHeight="1">
      <x:c r="A10" s="4" t="str">
        <x:v>a7 | SEC filing inventory</x:v>
      </x:c>
      <x:c r="B10" s="4" t="str">
        <x:v>2026-10-06</x:v>
      </x:c>
      <x:c r="C10" s="4" t="str">
        <x:v>filing</x:v>
      </x:c>
      <x:c r="D10" s="4" t="str">
        <x:v>https://data.sec.gov/submissions/CIK0001751008.json</x:v>
      </x:c>
      <x:c r="E10" s="4" t="str">
        <x:v>sources/submissions.json</x:v>
      </x:c>
      <x:c r="F10" s="4" t="str">
        <x:v>recent periodic filing inventory through cutoff</x:v>
      </x:c>
      <x:c r="G10" s="1"/>
      <x:c r="H10" s="1"/>
    </x:row>
    <x:row r="11" ht="75" customHeight="1">
      <x:c r="A11" s="4" t="str">
        <x:v>a8 | 2024 annual filing</x:v>
      </x:c>
      <x:c r="B11" s="4" t="str">
        <x:v>2025-02-27</x:v>
      </x:c>
      <x:c r="C11" s="4" t="str">
        <x:v>filing</x:v>
      </x:c>
      <x:c r="D11" s="4" t="str">
        <x:v>https://www.sec.gov/Archives/edgar/data/1751008/000175100825000018/app-20241231.htm</x:v>
      </x:c>
      <x:c r="E11" s="4" t="str">
        <x:v>sources/2024-10k.htm</x:v>
      </x:c>
      <x:c r="F11" s="4" t="str"/>
      <x:c r="G11" s="1"/>
      <x:c r="H11" s="1"/>
    </x:row>
    <x:row r="12" ht="75" customHeight="1">
      <x:c r="A12" s="4" t="str">
        <x:v>a9 | 2022 annual filing</x:v>
      </x:c>
      <x:c r="B12" s="4" t="str">
        <x:v>2023-02-28</x:v>
      </x:c>
      <x:c r="C12" s="4" t="str">
        <x:v>filing</x:v>
      </x:c>
      <x:c r="D12" s="4" t="str">
        <x:v>https://www.sec.gov/Archives/edgar/data/1751008/000175100823000006/app-20221231.htm</x:v>
      </x:c>
      <x:c r="E12" s="4" t="str">
        <x:v>sources\2022-10k.htm</x:v>
      </x:c>
      <x:c r="F12" s="4" t="str">
        <x:v>2022 Form 10-K, statements of operations</x:v>
      </x:c>
      <x:c r="G12" s="1"/>
      <x:c r="H12" s="1"/>
    </x:row>
    <x:row r="13" ht="75" customHeight="1">
      <x:c r="A13" s="4" t="str">
        <x:v>a10 | Unity Q2 2026 results</x:v>
      </x:c>
      <x:c r="B13" s="4" t="str">
        <x:v>2026-08-06</x:v>
      </x:c>
      <x:c r="C13" s="4" t="str">
        <x:v>competitor-management</x:v>
      </x:c>
      <x:c r="D13" s="4" t="str">
        <x:v>https://investors.unity.com/news/news-details/2026/Unity-Reports-Second-Quarter-2026-Financial-Results/default.aspx</x:v>
      </x:c>
      <x:c r="E13" s="4" t="str">
        <x:v>sources\unity-2026-q2.html</x:v>
      </x:c>
      <x:c r="F13" s="4" t="str">
        <x:v>Q2 2026 Grow revenue and GAAP results</x:v>
      </x:c>
      <x:c r="G13" s="1"/>
      <x:c r="H13" s="1"/>
    </x:row>
    <x:row r="14" ht="75" customHeight="1">
      <x:c r="A14" s="4" t="str">
        <x:v>a11 | Apple tracking privacy requirements</x:v>
      </x:c>
      <x:c r="B14" s="4" t="str">
        <x:v>Unverified / undated</x:v>
      </x:c>
      <x:c r="C14" s="4" t="str">
        <x:v>platform-policy</x:v>
      </x:c>
      <x:c r="D14" s="4" t="str">
        <x:v>https://developer.apple.com/app-store/user-privacy-and-data-use/</x:v>
      </x:c>
      <x:c r="E14" s="4" t="str">
        <x:v>sources\apple-privacy.html</x:v>
      </x:c>
      <x:c r="F14" s="4" t="str">
        <x:v>Ask permission to track</x:v>
      </x:c>
      <x:c r="G14" s="1"/>
      <x:c r="H14" s="1"/>
    </x:row>
    <x:row r="15" ht="75" customHeight="1">
      <x:c r="A15" s="4" t="str">
        <x:v>a12 | Reuters report of reported SEC inquiry</x:v>
      </x:c>
      <x:c r="B15" s="4" t="str">
        <x:v>2025-10-07</x:v>
      </x:c>
      <x:c r="C15" s="4" t="str">
        <x:v>secondary</x:v>
      </x:c>
      <x:c r="D15" s="4" t="str">
        <x:v>https://www.tradingview.com/news/reuters.com%2C2025%3Anewsml_L3N3VO0ES%3A0-applovin-falls-after-report-of-sec-probe-over-data-collection-practices/</x:v>
      </x:c>
      <x:c r="E15" s="4" t="str">
        <x:v>sources\reuters-inquiry.html</x:v>
      </x:c>
      <x:c r="F15" s="4" t="str">
        <x:v>Reuters syndicated short article; inquiry attributed to Bloomberg; Tuesday 7 October 2025</x:v>
      </x:c>
      <x:c r="G15" s="1"/>
      <x:c r="H15" s="1"/>
    </x:row>
    <x:row r="16" ht="75" customHeight="1">
      <x:c r="A16" s="4"/>
      <x:c r="B16" s="4"/>
      <x:c r="C16" s="4"/>
      <x:c r="D16" s="4"/>
      <x:c r="E16" s="4"/>
      <x:c r="F16" s="4"/>
      <x:c r="G16" s="1"/>
      <x:c r="H16" s="1"/>
    </x:row>
    <x:row r="17" ht="75" customHeight="1">
      <x:c r="A17" s="4"/>
      <x:c r="B17" s="4"/>
      <x:c r="C17" s="4"/>
      <x:c r="D17" s="4"/>
      <x:c r="E17" s="4"/>
      <x:c r="F17" s="4"/>
      <x:c r="G17" s="1"/>
      <x:c r="H17" s="1"/>
    </x:row>
    <x:row r="18" ht="75" customHeight="1">
      <x:c r="A18" s="4"/>
      <x:c r="B18" s="4"/>
      <x:c r="C18" s="4"/>
      <x:c r="D18" s="4"/>
      <x:c r="E18" s="4"/>
      <x:c r="F18" s="4"/>
      <x:c r="G18" s="1"/>
      <x:c r="H18" s="1"/>
    </x:row>
    <x:row r="19" ht="75" customHeight="1">
      <x:c r="A19" s="4"/>
      <x:c r="B19" s="4"/>
      <x:c r="C19" s="4"/>
      <x:c r="D19" s="4"/>
      <x:c r="E19" s="4"/>
      <x:c r="F19" s="4"/>
      <x:c r="G19" s="1"/>
      <x:c r="H19" s="1"/>
    </x:row>
    <x:row r="20" ht="75" customHeight="1">
      <x:c r="A20" s="4"/>
      <x:c r="B20" s="4"/>
      <x:c r="C20" s="4"/>
      <x:c r="D20" s="4"/>
      <x:c r="E20" s="4"/>
      <x:c r="F20" s="4"/>
      <x:c r="G20" s="1"/>
      <x:c r="H20" s="1"/>
    </x:row>
    <x:row r="21" ht="75" customHeight="1">
      <x:c r="A21" s="4"/>
      <x:c r="B21" s="4"/>
      <x:c r="C21" s="4"/>
      <x:c r="D21" s="4"/>
      <x:c r="E21" s="4"/>
      <x:c r="F21" s="4"/>
      <x:c r="G21" s="1"/>
      <x:c r="H21" s="1"/>
    </x:row>
    <x:row r="22" ht="75" customHeight="1">
      <x:c r="A22" s="4"/>
      <x:c r="B22" s="4"/>
      <x:c r="C22" s="4"/>
      <x:c r="D22" s="4"/>
      <x:c r="E22" s="4"/>
      <x:c r="F22" s="4"/>
      <x:c r="G22" s="1"/>
      <x:c r="H22" s="1"/>
    </x:row>
    <x:row r="23" ht="75" customHeight="1">
      <x:c r="A23" s="4"/>
      <x:c r="B23" s="4"/>
      <x:c r="C23" s="4"/>
      <x:c r="D23" s="4"/>
      <x:c r="E23" s="4"/>
      <x:c r="F23" s="4"/>
      <x:c r="G23" s="1"/>
      <x:c r="H23" s="1"/>
    </x:row>
    <x:row r="24" ht="75" customHeight="1">
      <x:c r="A24" s="4"/>
      <x:c r="B24" s="4"/>
      <x:c r="C24" s="4"/>
      <x:c r="D24" s="4"/>
      <x:c r="E24" s="4"/>
      <x:c r="F24" s="4"/>
      <x:c r="G24" s="1"/>
      <x:c r="H24" s="1"/>
    </x:row>
    <x:row r="25" ht="75" customHeight="1">
      <x:c r="A25" s="4"/>
      <x:c r="B25" s="4"/>
      <x:c r="C25" s="4"/>
      <x:c r="D25" s="4"/>
      <x:c r="E25" s="4"/>
      <x:c r="F25" s="4"/>
      <x:c r="G25" s="1"/>
      <x:c r="H25" s="1"/>
    </x:row>
    <x:row r="26" ht="75" customHeight="1">
      <x:c r="A26" s="4"/>
      <x:c r="B26" s="4"/>
      <x:c r="C26" s="4"/>
      <x:c r="D26" s="4"/>
      <x:c r="E26" s="4"/>
      <x:c r="F26" s="4"/>
      <x:c r="G26" s="1"/>
      <x:c r="H26" s="1"/>
    </x:row>
    <x:row r="27" ht="75" customHeight="1">
      <x:c r="A27" s="4"/>
      <x:c r="B27" s="4"/>
      <x:c r="C27" s="4"/>
      <x:c r="D27" s="4"/>
      <x:c r="E27" s="4"/>
      <x:c r="F27" s="4"/>
      <x:c r="G27" s="1"/>
      <x:c r="H27" s="1"/>
    </x:row>
    <x:row r="28" ht="75" customHeight="1">
      <x:c r="A28" s="4"/>
      <x:c r="B28" s="4"/>
      <x:c r="C28" s="4"/>
      <x:c r="D28" s="4"/>
      <x:c r="E28" s="4"/>
      <x:c r="F28" s="4"/>
      <x:c r="G28" s="1"/>
      <x:c r="H28" s="1"/>
    </x:row>
    <x:row r="29" ht="75" customHeight="1">
      <x:c r="A29" s="4"/>
      <x:c r="B29" s="4"/>
      <x:c r="C29" s="4"/>
      <x:c r="D29" s="4"/>
      <x:c r="E29" s="4"/>
      <x:c r="F29" s="4"/>
      <x:c r="G29" s="1"/>
      <x:c r="H29" s="1"/>
    </x:row>
    <x:row r="30" ht="75" customHeight="1">
      <x:c r="A30" s="4"/>
      <x:c r="B30" s="4"/>
      <x:c r="C30" s="4"/>
      <x:c r="D30" s="4"/>
      <x:c r="E30" s="4"/>
      <x:c r="F30" s="4"/>
      <x:c r="G30" s="1"/>
      <x:c r="H30" s="1"/>
    </x:row>
    <x:row r="31" ht="75" customHeight="1">
      <x:c r="A31" s="4"/>
      <x:c r="B31" s="4"/>
      <x:c r="C31" s="4"/>
      <x:c r="D31" s="4"/>
      <x:c r="E31" s="4"/>
      <x:c r="F31" s="4"/>
      <x:c r="G31" s="1"/>
      <x:c r="H31" s="1"/>
    </x:row>
    <x:row r="32" ht="75" customHeight="1">
      <x:c r="A32" s="4"/>
      <x:c r="B32" s="4"/>
      <x:c r="C32" s="4"/>
      <x:c r="D32" s="4"/>
      <x:c r="E32" s="4"/>
      <x:c r="F32" s="4"/>
      <x:c r="G32" s="1"/>
      <x:c r="H32" s="1"/>
    </x:row>
    <x:row r="33" ht="75" customHeight="1">
      <x:c r="A33" s="4"/>
      <x:c r="B33" s="4"/>
      <x:c r="C33" s="4"/>
      <x:c r="D33" s="4"/>
      <x:c r="E33" s="4"/>
      <x:c r="F33" s="4"/>
      <x:c r="G33" s="1"/>
      <x:c r="H33" s="1"/>
    </x:row>
    <x:row r="34" ht="75" customHeight="1">
      <x:c r="A34" s="4"/>
      <x:c r="B34" s="4"/>
      <x:c r="C34" s="4"/>
      <x:c r="D34" s="4"/>
      <x:c r="E34" s="4"/>
      <x:c r="F34" s="4"/>
      <x:c r="G34" s="1"/>
      <x:c r="H34" s="1"/>
    </x:row>
    <x:row r="35" ht="75" customHeight="1">
      <x:c r="A35" s="4"/>
      <x:c r="B35" s="4"/>
      <x:c r="C35" s="4"/>
      <x:c r="D35" s="4"/>
      <x:c r="E35" s="4"/>
      <x:c r="F35" s="4"/>
      <x:c r="G35" s="1"/>
      <x:c r="H35" s="1"/>
    </x:row>
    <x:row r="36" ht="75" customHeight="1">
      <x:c r="A36" s="4"/>
      <x:c r="B36" s="4"/>
      <x:c r="C36" s="4"/>
      <x:c r="D36" s="4"/>
      <x:c r="E36" s="4"/>
      <x:c r="F36" s="4"/>
      <x:c r="G36" s="1"/>
      <x:c r="H36" s="1"/>
    </x:row>
    <x:row r="37" ht="75" customHeight="1">
      <x:c r="A37" s="4"/>
      <x:c r="B37" s="4"/>
      <x:c r="C37" s="4"/>
      <x:c r="D37" s="4"/>
      <x:c r="E37" s="4"/>
      <x:c r="F37" s="4"/>
      <x:c r="G37" s="1"/>
      <x:c r="H37" s="1"/>
    </x:row>
    <x:row r="38" ht="75" customHeight="1">
      <x:c r="A38" s="4"/>
      <x:c r="B38" s="4"/>
      <x:c r="C38" s="4"/>
      <x:c r="D38" s="4"/>
      <x:c r="E38" s="4"/>
      <x:c r="F38" s="4"/>
      <x:c r="G38" s="1"/>
      <x:c r="H38" s="1"/>
    </x:row>
    <x:row r="39" ht="75" customHeight="1">
      <x:c r="A39" s="4"/>
      <x:c r="B39" s="4"/>
      <x:c r="C39" s="4"/>
      <x:c r="D39" s="4"/>
      <x:c r="E39" s="4"/>
      <x:c r="F39" s="4"/>
      <x:c r="G39" s="1"/>
      <x:c r="H39" s="1"/>
    </x:row>
    <x:row r="40" ht="75" customHeight="1">
      <x:c r="A40" s="4"/>
      <x:c r="B40" s="4"/>
      <x:c r="C40" s="4"/>
      <x:c r="D40" s="4"/>
      <x:c r="E40" s="4"/>
      <x:c r="F40" s="4"/>
      <x:c r="G40" s="1"/>
      <x:c r="H40" s="1"/>
    </x:row>
    <x:row r="41" ht="75" customHeight="1">
      <x:c r="A41" s="4"/>
      <x:c r="B41" s="4"/>
      <x:c r="C41" s="4"/>
      <x:c r="D41" s="4"/>
      <x:c r="E41" s="4"/>
      <x:c r="F41" s="4"/>
      <x:c r="G41" s="1"/>
      <x:c r="H41" s="1"/>
    </x:row>
    <x:row r="42" ht="75" customHeight="1">
      <x:c r="A42" s="4"/>
      <x:c r="B42" s="4"/>
      <x:c r="C42" s="4"/>
      <x:c r="D42" s="4"/>
      <x:c r="E42" s="4"/>
      <x:c r="F42" s="4"/>
      <x:c r="G42" s="1"/>
      <x:c r="H42" s="1"/>
    </x:row>
    <x:row r="43" ht="75" customHeight="1">
      <x:c r="A43" s="4"/>
      <x:c r="B43" s="4"/>
      <x:c r="C43" s="4"/>
      <x:c r="D43" s="4"/>
      <x:c r="E43" s="4"/>
      <x:c r="F43" s="4"/>
      <x:c r="G43" s="1"/>
      <x:c r="H43" s="1"/>
    </x:row>
    <x:row r="44" ht="75" customHeight="1">
      <x:c r="A44" s="4"/>
      <x:c r="B44" s="4"/>
      <x:c r="C44" s="4"/>
      <x:c r="D44" s="4"/>
      <x:c r="E44" s="4"/>
      <x:c r="F44" s="4"/>
      <x:c r="G44" s="1"/>
      <x:c r="H44" s="1"/>
    </x:row>
    <x:row r="45" ht="75" customHeight="1">
      <x:c r="A45" s="4"/>
      <x:c r="B45" s="4"/>
      <x:c r="C45" s="4"/>
      <x:c r="D45" s="4"/>
      <x:c r="E45" s="4"/>
      <x:c r="F45" s="4"/>
      <x:c r="G45" s="1"/>
      <x:c r="H45" s="1"/>
    </x:row>
    <x:row r="46" ht="75" customHeight="1">
      <x:c r="A46" s="4"/>
      <x:c r="B46" s="4"/>
      <x:c r="C46" s="4"/>
      <x:c r="D46" s="4"/>
      <x:c r="E46" s="4"/>
      <x:c r="F46" s="4"/>
      <x:c r="G46" s="1"/>
      <x:c r="H46" s="1"/>
    </x:row>
    <x:row r="47" ht="75" customHeight="1">
      <x:c r="A47" s="4"/>
      <x:c r="B47" s="4"/>
      <x:c r="C47" s="4"/>
      <x:c r="D47" s="4"/>
      <x:c r="E47" s="4"/>
      <x:c r="F47" s="4"/>
      <x:c r="G47" s="1"/>
      <x:c r="H47" s="1"/>
    </x:row>
    <x:row r="48" ht="75" customHeight="1">
      <x:c r="A48" s="4"/>
      <x:c r="B48" s="4"/>
      <x:c r="C48" s="4"/>
      <x:c r="D48" s="4"/>
      <x:c r="E48" s="4"/>
      <x:c r="F48" s="4"/>
      <x:c r="G48" s="1"/>
      <x:c r="H48" s="1"/>
    </x:row>
    <x:row r="49" ht="75" customHeight="1">
      <x:c r="A49" s="4"/>
      <x:c r="B49" s="4"/>
      <x:c r="C49" s="4"/>
      <x:c r="D49" s="4"/>
      <x:c r="E49" s="4"/>
      <x:c r="F49" s="4"/>
      <x:c r="G49" s="1"/>
      <x:c r="H49" s="1"/>
    </x:row>
    <x:row r="50" ht="75" customHeight="1">
      <x:c r="A50" s="4"/>
      <x:c r="B50" s="4"/>
      <x:c r="C50" s="4"/>
      <x:c r="D50" s="4"/>
      <x:c r="E50" s="4"/>
      <x:c r="F50" s="4"/>
      <x:c r="G50" s="1"/>
      <x:c r="H50" s="1"/>
    </x:row>
    <x:row r="51" ht="75" customHeight="1">
      <x:c r="A51" s="4"/>
      <x:c r="B51" s="4"/>
      <x:c r="C51" s="4"/>
      <x:c r="D51" s="4"/>
      <x:c r="E51" s="4"/>
      <x:c r="F51" s="4"/>
      <x:c r="G51" s="1"/>
      <x:c r="H51" s="1"/>
    </x:row>
    <x:row r="52" ht="75" customHeight="1">
      <x:c r="A52" s="4"/>
      <x:c r="B52" s="4"/>
      <x:c r="C52" s="4"/>
      <x:c r="D52" s="4"/>
      <x:c r="E52" s="4"/>
      <x:c r="F52" s="4"/>
      <x:c r="G52" s="1"/>
      <x:c r="H52" s="1"/>
    </x:row>
    <x:row r="53" ht="75" customHeight="1">
      <x:c r="A53" s="4"/>
      <x:c r="B53" s="4"/>
      <x:c r="C53" s="4"/>
      <x:c r="D53" s="4"/>
      <x:c r="E53" s="4"/>
      <x:c r="F53" s="4"/>
      <x:c r="G53" s="1"/>
      <x:c r="H53" s="1"/>
    </x:row>
    <x:row r="54" ht="75" customHeight="1">
      <x:c r="A54" s="4"/>
      <x:c r="B54" s="4"/>
      <x:c r="C54" s="4"/>
      <x:c r="D54" s="4"/>
      <x:c r="E54" s="4"/>
      <x:c r="F54" s="4"/>
      <x:c r="G54" s="1"/>
      <x:c r="H54" s="1"/>
    </x:row>
    <x:row r="55" ht="75" customHeight="1">
      <x:c r="A55" s="4"/>
      <x:c r="B55" s="4"/>
      <x:c r="C55" s="4"/>
      <x:c r="D55" s="4"/>
      <x:c r="E55" s="4"/>
      <x:c r="F55" s="4"/>
      <x:c r="G55" s="1"/>
      <x:c r="H55" s="1"/>
    </x:row>
    <x:row r="56" ht="75" customHeight="1">
      <x:c r="A56" s="4"/>
      <x:c r="B56" s="4"/>
      <x:c r="C56" s="4"/>
      <x:c r="D56" s="4"/>
      <x:c r="E56" s="4"/>
      <x:c r="F56" s="4"/>
      <x:c r="G56" s="1"/>
      <x:c r="H56" s="1"/>
    </x:row>
    <x:row r="57" ht="75" customHeight="1">
      <x:c r="A57" s="4"/>
      <x:c r="B57" s="4"/>
      <x:c r="C57" s="4"/>
      <x:c r="D57" s="4"/>
      <x:c r="E57" s="4"/>
      <x:c r="F57" s="4"/>
      <x:c r="G57" s="1"/>
      <x:c r="H57" s="1"/>
    </x:row>
    <x:row r="58" ht="75" customHeight="1">
      <x:c r="A58" s="4"/>
      <x:c r="B58" s="4"/>
      <x:c r="C58" s="4"/>
      <x:c r="D58" s="4"/>
      <x:c r="E58" s="4"/>
      <x:c r="F58" s="4"/>
      <x:c r="G58" s="1"/>
      <x:c r="H58" s="1"/>
    </x:row>
    <x:row r="59" ht="75" customHeight="1">
      <x:c r="A59" s="4"/>
      <x:c r="B59" s="4"/>
      <x:c r="C59" s="4"/>
      <x:c r="D59" s="4"/>
      <x:c r="E59" s="4"/>
      <x:c r="F59" s="4"/>
      <x:c r="G59" s="1"/>
      <x:c r="H59" s="1"/>
    </x:row>
    <x:row r="60" ht="75" customHeight="1">
      <x:c r="A60" s="4"/>
      <x:c r="B60" s="4"/>
      <x:c r="C60" s="4"/>
      <x:c r="D60" s="4"/>
      <x:c r="E60" s="4"/>
      <x:c r="F60" s="4"/>
      <x:c r="G60" s="1"/>
      <x:c r="H60" s="1"/>
    </x:row>
    <x:row r="61" ht="75" customHeight="1">
      <x:c r="A61" s="4"/>
      <x:c r="B61" s="4"/>
      <x:c r="C61" s="4"/>
      <x:c r="D61" s="4"/>
      <x:c r="E61" s="4"/>
      <x:c r="F61" s="4"/>
      <x:c r="G61" s="1"/>
      <x:c r="H61" s="1"/>
    </x:row>
    <x:row r="62" ht="75" customHeight="1">
      <x:c r="A62" s="4"/>
      <x:c r="B62" s="4"/>
      <x:c r="C62" s="4"/>
      <x:c r="D62" s="4"/>
      <x:c r="E62" s="4"/>
      <x:c r="F62" s="4"/>
      <x:c r="G62" s="1"/>
      <x:c r="H62" s="1"/>
    </x:row>
    <x:row r="63" ht="75" customHeight="1">
      <x:c r="A63" s="4"/>
      <x:c r="B63" s="4"/>
      <x:c r="C63" s="4"/>
      <x:c r="D63" s="4"/>
      <x:c r="E63" s="4"/>
      <x:c r="F63" s="4"/>
      <x:c r="G63" s="1"/>
      <x:c r="H63" s="1"/>
    </x:row>
    <x:row r="64" ht="75" customHeight="1">
      <x:c r="A64" s="4"/>
      <x:c r="B64" s="4"/>
      <x:c r="C64" s="4"/>
      <x:c r="D64" s="4"/>
      <x:c r="E64" s="4"/>
      <x:c r="F64" s="4"/>
      <x:c r="G64" s="1"/>
      <x:c r="H64" s="1"/>
    </x:row>
    <x:row r="65" ht="75" customHeight="1">
      <x:c r="A65" s="4"/>
      <x:c r="B65" s="4"/>
      <x:c r="C65" s="4"/>
      <x:c r="D65" s="4"/>
      <x:c r="E65" s="4"/>
      <x:c r="F65" s="4"/>
      <x:c r="G65" s="1"/>
      <x:c r="H65" s="1"/>
    </x:row>
    <x:row r="66" ht="75" customHeight="1">
      <x:c r="A66" s="4"/>
      <x:c r="B66" s="4"/>
      <x:c r="C66" s="4"/>
      <x:c r="D66" s="4"/>
      <x:c r="E66" s="4"/>
      <x:c r="F66" s="4"/>
      <x:c r="G66" s="1"/>
      <x:c r="H66" s="1"/>
    </x:row>
    <x:row r="67" ht="75" customHeight="1">
      <x:c r="A67" s="4"/>
      <x:c r="B67" s="4"/>
      <x:c r="C67" s="4"/>
      <x:c r="D67" s="4"/>
      <x:c r="E67" s="4"/>
      <x:c r="F67" s="4"/>
      <x:c r="G67" s="1"/>
      <x:c r="H67" s="1"/>
    </x:row>
    <x:row r="68" ht="75" customHeight="1">
      <x:c r="A68" s="4"/>
      <x:c r="B68" s="4"/>
      <x:c r="C68" s="4"/>
      <x:c r="D68" s="4"/>
      <x:c r="E68" s="4"/>
      <x:c r="F68" s="4"/>
      <x:c r="G68" s="1"/>
      <x:c r="H68" s="1"/>
    </x:row>
    <x:row r="69" ht="75" customHeight="1">
      <x:c r="A69" s="4"/>
      <x:c r="B69" s="4"/>
      <x:c r="C69" s="4"/>
      <x:c r="D69" s="4"/>
      <x:c r="E69" s="4"/>
      <x:c r="F69" s="4"/>
      <x:c r="G69" s="1"/>
      <x:c r="H69" s="1"/>
    </x:row>
    <x:row r="70" ht="75" customHeight="1">
      <x:c r="A70" s="4"/>
      <x:c r="B70" s="4"/>
      <x:c r="C70" s="4"/>
      <x:c r="D70" s="4"/>
      <x:c r="E70" s="4"/>
      <x:c r="F70" s="4"/>
      <x:c r="G70" s="1"/>
      <x:c r="H70" s="1"/>
    </x:row>
    <x:row r="71" ht="75" customHeight="1">
      <x:c r="A71" s="4"/>
      <x:c r="B71" s="4"/>
      <x:c r="C71" s="4"/>
      <x:c r="D71" s="4"/>
      <x:c r="E71" s="4"/>
      <x:c r="F71" s="4"/>
      <x:c r="G71" s="1"/>
      <x:c r="H71" s="1"/>
    </x:row>
    <x:row r="72" ht="75" customHeight="1">
      <x:c r="A72" s="4"/>
      <x:c r="B72" s="4"/>
      <x:c r="C72" s="4"/>
      <x:c r="D72" s="4"/>
      <x:c r="E72" s="4"/>
      <x:c r="F72" s="4"/>
      <x:c r="G72" s="1"/>
      <x:c r="H72" s="1"/>
    </x:row>
    <x:row r="73" ht="75" customHeight="1">
      <x:c r="A73" s="4"/>
      <x:c r="B73" s="4"/>
      <x:c r="C73" s="4"/>
      <x:c r="D73" s="4"/>
      <x:c r="E73" s="4"/>
      <x:c r="F73" s="4"/>
      <x:c r="G73" s="1"/>
      <x:c r="H73" s="1"/>
    </x:row>
    <x:row r="74" ht="75" customHeight="1">
      <x:c r="A74" s="4"/>
      <x:c r="B74" s="4"/>
      <x:c r="C74" s="4"/>
      <x:c r="D74" s="4"/>
      <x:c r="E74" s="4"/>
      <x:c r="F74" s="4"/>
      <x:c r="G74" s="1"/>
      <x:c r="H74" s="1"/>
    </x:row>
    <x:row r="75" ht="75" customHeight="1">
      <x:c r="A75" s="4"/>
      <x:c r="B75" s="4"/>
      <x:c r="C75" s="4"/>
      <x:c r="D75" s="4"/>
      <x:c r="E75" s="4"/>
      <x:c r="F75" s="4"/>
      <x:c r="G75" s="1"/>
      <x:c r="H75" s="1"/>
    </x:row>
    <x:row r="76" ht="75" customHeight="1">
      <x:c r="A76" s="4"/>
      <x:c r="B76" s="4"/>
      <x:c r="C76" s="4"/>
      <x:c r="D76" s="4"/>
      <x:c r="E76" s="4"/>
      <x:c r="F76" s="4"/>
      <x:c r="G76" s="1"/>
      <x:c r="H76" s="1"/>
    </x:row>
    <x:row r="77" ht="75" customHeight="1">
      <x:c r="A77" s="4"/>
      <x:c r="B77" s="4"/>
      <x:c r="C77" s="4"/>
      <x:c r="D77" s="4"/>
      <x:c r="E77" s="4"/>
      <x:c r="F77" s="4"/>
      <x:c r="G77" s="1"/>
      <x:c r="H77" s="1"/>
    </x:row>
    <x:row r="78" ht="75" customHeight="1">
      <x:c r="A78" s="4"/>
      <x:c r="B78" s="4"/>
      <x:c r="C78" s="4"/>
      <x:c r="D78" s="4"/>
      <x:c r="E78" s="4"/>
      <x:c r="F78" s="4"/>
      <x:c r="G78" s="1"/>
      <x:c r="H78" s="1"/>
    </x:row>
    <x:row r="79" ht="75" customHeight="1">
      <x:c r="A79" s="4"/>
      <x:c r="B79" s="4"/>
      <x:c r="C79" s="4"/>
      <x:c r="D79" s="4"/>
      <x:c r="E79" s="4"/>
      <x:c r="F79" s="4"/>
      <x:c r="G79" s="1"/>
      <x:c r="H79" s="1"/>
    </x:row>
    <x:row r="80" ht="75" customHeight="1">
      <x:c r="A80" s="4"/>
      <x:c r="B80" s="4"/>
      <x:c r="C80" s="4"/>
      <x:c r="D80" s="4"/>
      <x:c r="E80" s="4"/>
      <x:c r="F80" s="4"/>
      <x:c r="G80" s="1"/>
      <x:c r="H80" s="1"/>
    </x:row>
    <x:row r="81" ht="75" customHeight="1">
      <x:c r="A81" s="4"/>
      <x:c r="B81" s="4"/>
      <x:c r="C81" s="4"/>
      <x:c r="D81" s="4"/>
      <x:c r="E81" s="4"/>
      <x:c r="F81" s="4"/>
      <x:c r="G81" s="1"/>
      <x:c r="H81" s="1"/>
    </x:row>
    <x:row r="82" ht="75" customHeight="1">
      <x:c r="A82" s="4"/>
      <x:c r="B82" s="4"/>
      <x:c r="C82" s="4"/>
      <x:c r="D82" s="4"/>
      <x:c r="E82" s="4"/>
      <x:c r="F82" s="4"/>
      <x:c r="G82" s="1"/>
      <x:c r="H82" s="1"/>
    </x:row>
    <x:row r="83" ht="75" customHeight="1">
      <x:c r="A83" s="4"/>
      <x:c r="B83" s="4"/>
      <x:c r="C83" s="4"/>
      <x:c r="D83" s="4"/>
      <x:c r="E83" s="4"/>
      <x:c r="F83" s="4"/>
      <x:c r="G83" s="1"/>
      <x:c r="H83" s="1"/>
    </x:row>
    <x:row r="84" ht="75" customHeight="1">
      <x:c r="A84" s="4"/>
      <x:c r="B84" s="4"/>
      <x:c r="C84" s="4"/>
      <x:c r="D84" s="4"/>
      <x:c r="E84" s="4"/>
      <x:c r="F84" s="4"/>
      <x:c r="G84" s="1"/>
      <x:c r="H84" s="1"/>
    </x:row>
    <x:row r="85" ht="75" customHeight="1">
      <x:c r="A85" s="4"/>
      <x:c r="B85" s="4"/>
      <x:c r="C85" s="4"/>
      <x:c r="D85" s="4"/>
      <x:c r="E85" s="4"/>
      <x:c r="F85" s="4"/>
      <x:c r="G85" s="1"/>
      <x:c r="H85" s="1"/>
    </x:row>
    <x:row r="86" ht="75" customHeight="1">
      <x:c r="A86" s="4"/>
      <x:c r="B86" s="4"/>
      <x:c r="C86" s="4"/>
      <x:c r="D86" s="4"/>
      <x:c r="E86" s="4"/>
      <x:c r="F86" s="4"/>
      <x:c r="G86" s="1"/>
      <x:c r="H86" s="1"/>
    </x:row>
    <x:row r="87" ht="75" customHeight="1">
      <x:c r="A87" s="4"/>
      <x:c r="B87" s="4"/>
      <x:c r="C87" s="4"/>
      <x:c r="D87" s="4"/>
      <x:c r="E87" s="4"/>
      <x:c r="F87" s="4"/>
      <x:c r="G87" s="1"/>
      <x:c r="H87" s="1"/>
    </x:row>
    <x:row r="88" ht="75" customHeight="1">
      <x:c r="A88" s="4"/>
      <x:c r="B88" s="4"/>
      <x:c r="C88" s="4"/>
      <x:c r="D88" s="4"/>
      <x:c r="E88" s="4"/>
      <x:c r="F88" s="4"/>
      <x:c r="G88" s="1"/>
      <x:c r="H88" s="1"/>
    </x:row>
    <x:row r="89" ht="75" customHeight="1">
      <x:c r="A89" s="4"/>
      <x:c r="B89" s="4"/>
      <x:c r="C89" s="4"/>
      <x:c r="D89" s="4"/>
      <x:c r="E89" s="4"/>
      <x:c r="F89" s="4"/>
      <x:c r="G89" s="1"/>
      <x:c r="H89" s="1"/>
    </x:row>
    <x:row r="90" ht="75" customHeight="1">
      <x:c r="A90" s="4"/>
      <x:c r="B90" s="4"/>
      <x:c r="C90" s="4"/>
      <x:c r="D90" s="4"/>
      <x:c r="E90" s="4"/>
      <x:c r="F90" s="4"/>
      <x:c r="G90" s="1"/>
      <x:c r="H90" s="1"/>
    </x:row>
    <x:row r="91" ht="75" customHeight="1">
      <x:c r="A91" s="4"/>
      <x:c r="B91" s="4"/>
      <x:c r="C91" s="4"/>
      <x:c r="D91" s="4"/>
      <x:c r="E91" s="4"/>
      <x:c r="F91" s="4"/>
      <x:c r="G91" s="1"/>
      <x:c r="H91" s="1"/>
    </x:row>
    <x:row r="92" ht="75" customHeight="1">
      <x:c r="A92" s="4"/>
      <x:c r="B92" s="4"/>
      <x:c r="C92" s="4"/>
      <x:c r="D92" s="4"/>
      <x:c r="E92" s="4"/>
      <x:c r="F92" s="4"/>
      <x:c r="G92" s="1"/>
      <x:c r="H92" s="1"/>
    </x:row>
    <x:row r="93" ht="75" customHeight="1">
      <x:c r="A93" s="4"/>
      <x:c r="B93" s="4"/>
      <x:c r="C93" s="4"/>
      <x:c r="D93" s="4"/>
      <x:c r="E93" s="4"/>
      <x:c r="F93" s="4"/>
      <x:c r="G93" s="1"/>
      <x:c r="H93" s="1"/>
    </x:row>
    <x:row r="94" ht="75" customHeight="1">
      <x:c r="A94" s="4"/>
      <x:c r="B94" s="4"/>
      <x:c r="C94" s="4"/>
      <x:c r="D94" s="4"/>
      <x:c r="E94" s="4"/>
      <x:c r="F94" s="4"/>
      <x:c r="G94" s="1"/>
      <x:c r="H94" s="1"/>
    </x:row>
    <x:row r="95" ht="75" customHeight="1">
      <x:c r="A95" s="4"/>
      <x:c r="B95" s="4"/>
      <x:c r="C95" s="4"/>
      <x:c r="D95" s="4"/>
      <x:c r="E95" s="4"/>
      <x:c r="F95" s="4"/>
      <x:c r="G95" s="1"/>
      <x:c r="H95" s="1"/>
    </x:row>
    <x:row r="96" ht="75" customHeight="1">
      <x:c r="A96" s="4"/>
      <x:c r="B96" s="4"/>
      <x:c r="C96" s="4"/>
      <x:c r="D96" s="4"/>
      <x:c r="E96" s="4"/>
      <x:c r="F96" s="4"/>
      <x:c r="G96" s="1"/>
      <x:c r="H96" s="1"/>
    </x:row>
    <x:row r="97" ht="75" customHeight="1">
      <x:c r="A97" s="4"/>
      <x:c r="B97" s="4"/>
      <x:c r="C97" s="4"/>
      <x:c r="D97" s="4"/>
      <x:c r="E97" s="4"/>
      <x:c r="F97" s="4"/>
      <x:c r="G97" s="1"/>
      <x:c r="H97" s="1"/>
    </x:row>
    <x:row r="98" ht="75" customHeight="1">
      <x:c r="A98" s="4"/>
      <x:c r="B98" s="4"/>
      <x:c r="C98" s="4"/>
      <x:c r="D98" s="4"/>
      <x:c r="E98" s="4"/>
      <x:c r="F98" s="4"/>
      <x:c r="G98" s="1"/>
      <x:c r="H98" s="1"/>
    </x:row>
    <x:row r="99" ht="75" customHeight="1">
      <x:c r="A99" s="4"/>
      <x:c r="B99" s="4"/>
      <x:c r="C99" s="4"/>
      <x:c r="D99" s="4"/>
      <x:c r="E99" s="4"/>
      <x:c r="F99" s="4"/>
      <x:c r="G99" s="1"/>
      <x:c r="H99" s="1"/>
    </x:row>
    <x:row r="100" ht="75" customHeight="1">
      <x:c r="A100" s="4"/>
      <x:c r="B100" s="4"/>
      <x:c r="C100" s="4"/>
      <x:c r="D100" s="4"/>
      <x:c r="E100" s="4"/>
      <x:c r="F100" s="4"/>
      <x:c r="G100" s="1"/>
      <x:c r="H100" s="1"/>
    </x:row>
  </x:sheetData>
  <x:mergeCells>
    <x:mergeCell ref="A1:F1"/>
  </x:mergeCells>
  <x:pageMargins left="0.7" right="0.7" top="0.75" bottom="0.75" header="0.3" footer="0.3"/>
</x:worksheet>
</file>