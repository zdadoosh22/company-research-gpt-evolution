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0f4ad65ba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24d42de7648e4ec3"/>
    <x:sheet xmlns:r="http://schemas.openxmlformats.org/officeDocument/2006/relationships" name="Actuals" sheetId="2" r:id="R4b19ef57af67419c"/>
    <x:sheet xmlns:r="http://schemas.openxmlformats.org/officeDocument/2006/relationships" name="Bank model" sheetId="3" r:id="R240d308817ef4a53"/>
    <x:sheet xmlns:r="http://schemas.openxmlformats.org/officeDocument/2006/relationships" name="Sources" sheetId="4" r:id="R0d43b135f753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(#,##0.000);&quot;-&quot;"/>
    <x:numFmt numFmtId="201" formatCode="0.0%"/>
    <x:numFmt numFmtId="202" formatCode="0.00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1" fontId="4" fillId="4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3765b0aac456f" /><Relationship Type="http://schemas.openxmlformats.org/officeDocument/2006/relationships/theme" Target="/xl/theme/theme1.xml" Id="R05b0f6c854f843d6" /><Relationship Type="http://schemas.openxmlformats.org/officeDocument/2006/relationships/sharedStrings" Target="/xl/sharedStrings.xml" Id="Rdcd0daf115db454e" /><Relationship Type="http://schemas.openxmlformats.org/officeDocument/2006/relationships/worksheet" Target="/xl/worksheets/sheet1.xml" Id="R24d42de7648e4ec3" /><Relationship Type="http://schemas.openxmlformats.org/officeDocument/2006/relationships/worksheet" Target="/xl/worksheets/sheet2.xml" Id="R4b19ef57af67419c" /><Relationship Type="http://schemas.openxmlformats.org/officeDocument/2006/relationships/worksheet" Target="/xl/worksheets/sheet3.xml" Id="R240d308817ef4a53" /><Relationship Type="http://schemas.openxmlformats.org/officeDocument/2006/relationships/worksheet" Target="/xl/worksheets/sheet4.xml" Id="R0d43b135f7534a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JPMorgan | bank substitution pilot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focused predecessor audit complete; new evidence independently checked by parent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Focused sector pilot, not a JPM thesis or recommendation.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TBV at June 30, not October. ROTCE is assumed long-run normalized and uses the tangible denominator.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Regulatory binding constraints require multiple capital and leverage ratios. Standardized CET1 alone is not distributable excess capital.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No verified dated security quote or capital-constrained distribution forecast: shareholder-return and entry-price conclusions withheld.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Justified P/TBV formula assumes prospective return on opening tangible common equity; issuer reported ROTCE uses average TCE. This steady-state assumption is not a validated forecast transition or current valuation.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Recalculated and export/import tested with the bundled engine. Native Microsoft Excel has not been independently opened/tested.</x:v>
      </x:c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Tangible book per share</x:v>
      </x:c>
      <x:c r="B4" s="1" t="str">
        <x:v>2026-Q2</x:v>
      </x:c>
      <x:c r="C4" s="7" t="n">
        <x:v>113.35</x:v>
      </x:c>
      <x:c r="D4" s="1" t="str">
        <x:v>USD/share</x:v>
      </x:c>
      <x:c r="E4" s="4" t="str">
        <x:v>tangible common equity</x:v>
      </x:c>
      <x:c r="F4" s="4" t="str">
        <x:v>j2</x:v>
      </x:c>
      <x:c r="G4" s="4" t="str">
        <x:v>financial highlights p2; reconciliation p10</x:v>
      </x:c>
      <x:c r="H4" s="4" t="str">
        <x:v>verified-reported</x:v>
      </x:c>
    </x:row>
    <x:row r="5" ht="65" customHeight="1">
      <x:c r="A5" s="1" t="str">
        <x:v>Q2 ROTCE reported</x:v>
      </x:c>
      <x:c r="B5" s="1" t="str">
        <x:v>2026-Q2</x:v>
      </x:c>
      <x:c r="C5" s="7" t="n">
        <x:v>0.29</x:v>
      </x:c>
      <x:c r="D5" s="1" t="str">
        <x:v>ratio</x:v>
      </x:c>
      <x:c r="E5" s="4" t="str">
        <x:v>annualised quarterly, not sustainable</x:v>
      </x:c>
      <x:c r="F5" s="4" t="str">
        <x:v>j1</x:v>
      </x:c>
      <x:c r="G5" s="4" t="str">
        <x:v>headline / significant items note2d</x:v>
      </x:c>
      <x:c r="H5" s="4" t="str">
        <x:v>verified-reported</x:v>
      </x:c>
    </x:row>
    <x:row r="6" ht="65" customHeight="1">
      <x:c r="A6" s="1" t="str">
        <x:v>CET1 standardized estimated</x:v>
      </x:c>
      <x:c r="B6" s="1" t="str">
        <x:v>2026-Q2</x:v>
      </x:c>
      <x:c r="C6" s="7" t="n">
        <x:v>0.141</x:v>
      </x:c>
      <x:c r="D6" s="1" t="str">
        <x:v>ratio</x:v>
      </x:c>
      <x:c r="E6" s="4" t="str">
        <x:v>regulatory capital</x:v>
      </x:c>
      <x:c r="F6" s="4" t="str">
        <x:v>j2</x:v>
      </x:c>
      <x:c r="G6" s="4" t="str">
        <x:v>capital p9</x:v>
      </x:c>
      <x:c r="H6" s="4" t="str">
        <x:v>verified-reported</x:v>
      </x:c>
    </x:row>
    <x:row r="7" ht="65" customHeight="1">
      <x:c r="A7" s="1" t="str">
        <x:v>Cash dividend declared</x:v>
      </x:c>
      <x:c r="B7" s="1" t="str">
        <x:v>2026-Q2</x:v>
      </x:c>
      <x:c r="C7" s="7" t="n">
        <x:v>1.5</x:v>
      </x:c>
      <x:c r="D7" s="1" t="str">
        <x:v>USD/share</x:v>
      </x:c>
      <x:c r="E7" s="4" t="str">
        <x:v>quarterly distribution</x:v>
      </x:c>
      <x:c r="F7" s="4" t="str">
        <x:v>j2</x:v>
      </x:c>
      <x:c r="G7" s="4" t="str">
        <x:v>financial highlights p2</x:v>
      </x:c>
      <x:c r="H7" s="4" t="str">
        <x:v>verified-reported</x:v>
      </x:c>
    </x:row>
    <x:row r="8" ht="65" customHeight="1">
      <x:c r="A8" s="1" t="str">
        <x:v>CET1 standardized finalized</x:v>
      </x:c>
      <x:c r="B8" s="1" t="str">
        <x:v>2026-Q2</x:v>
      </x:c>
      <x:c r="C8" s="7" t="n">
        <x:v>0.142</x:v>
      </x:c>
      <x:c r="D8" s="1" t="str">
        <x:v>ratio</x:v>
      </x:c>
      <x:c r="E8" s="4" t="str">
        <x:v>regulatory capital; finalized</x:v>
      </x:c>
      <x:c r="F8" s="4" t="str">
        <x:v>j3</x:v>
      </x:c>
      <x:c r="G8" s="4" t="str">
        <x:v>Capital risk management pp44,46; Note21 pp177-178</x:v>
      </x:c>
      <x:c r="H8" s="4" t="str">
        <x:v>verified-reported</x:v>
      </x:c>
    </x:row>
    <x:row r="9" ht="65" customHeight="1">
      <x:c r="A9" s="1" t="str">
        <x:v>Common dividend newly declared</x:v>
      </x:c>
      <x:c r="B9" s="1" t="str">
        <x:v>2026-09-15</x:v>
      </x:c>
      <x:c r="C9" s="7" t="n">
        <x:v>1.65</x:v>
      </x:c>
      <x:c r="D9" s="1" t="str">
        <x:v>USD/share</x:v>
      </x:c>
      <x:c r="E9" s="4" t="str">
        <x:v>payable October31, record October6; buyer eligibility depends on ex-date</x:v>
      </x:c>
      <x:c r="F9" s="4" t="str">
        <x:v>j5</x:v>
      </x:c>
      <x:c r="G9" s="4" t="str">
        <x:v>Issuer declaration</x:v>
      </x:c>
      <x:c r="H9" s="4" t="str">
        <x:v>verified-reported</x:v>
      </x:c>
    </x:row>
    <x:row r="10" ht="65" customHeight="1">
      <x:c r="A10" s="1" t="str">
        <x:v>Advanced total capital</x:v>
      </x:c>
      <x:c r="B10" s="1" t="str">
        <x:v>2026-Q2</x:v>
      </x:c>
      <x:c r="C10" s="7" t="n">
        <x:v>346248</x:v>
      </x:c>
      <x:c r="D10" s="1" t="str">
        <x:v>USD million</x:v>
      </x:c>
      <x:c r="E10" s="4" t="str">
        <x:v>regulatory numerator; finalized</x:v>
      </x:c>
      <x:c r="F10" s="4" t="str">
        <x:v>j4</x:v>
      </x:c>
      <x:c r="G10" s="4" t="str">
        <x:v>Note21 finalized table</x:v>
      </x:c>
      <x:c r="H10" s="4" t="str">
        <x:v>verified-reported</x:v>
      </x:c>
    </x:row>
    <x:row r="11" ht="65" customHeight="1">
      <x:c r="A11" s="1" t="str">
        <x:v>Advanced RWA</x:v>
      </x:c>
      <x:c r="B11" s="1" t="str">
        <x:v>2026-Q2</x:v>
      </x:c>
      <x:c r="C11" s="7" t="n">
        <x:v>2123862</x:v>
      </x:c>
      <x:c r="D11" s="1" t="str">
        <x:v>USD million</x:v>
      </x:c>
      <x:c r="E11" s="4" t="str">
        <x:v>Advanced approach denominator; finalized</x:v>
      </x:c>
      <x:c r="F11" s="4" t="str">
        <x:v>j4</x:v>
      </x:c>
      <x:c r="G11" s="4" t="str">
        <x:v>Note21 finalized table</x:v>
      </x:c>
      <x:c r="H11" s="4" t="str">
        <x:v>verified-reported</x:v>
      </x:c>
    </x:row>
    <x:row r="12" ht="65" customHeight="1">
      <x:c r="A12" s="1"/>
      <x:c r="B12" s="1"/>
      <x:c r="C12" s="7"/>
      <x:c r="D12" s="1"/>
      <x:c r="E12" s="4"/>
      <x:c r="F12" s="4"/>
      <x:c r="G12" s="4"/>
      <x:c r="H12" s="4"/>
    </x:row>
    <x:row r="13" ht="65" customHeight="1">
      <x:c r="A13" s="1"/>
      <x:c r="B13" s="1"/>
      <x:c r="C13" s="7"/>
      <x:c r="D13" s="1"/>
      <x:c r="E13" s="4"/>
      <x:c r="F13" s="4"/>
      <x:c r="G13" s="4"/>
      <x:c r="H13" s="4"/>
    </x:row>
    <x:row r="14" ht="65" customHeight="1">
      <x:c r="A14" s="1"/>
      <x:c r="B14" s="1"/>
      <x:c r="C14" s="7"/>
      <x:c r="D14" s="1"/>
      <x:c r="E14" s="4"/>
      <x:c r="F14" s="4"/>
      <x:c r="G14" s="4"/>
      <x:c r="H14" s="4"/>
    </x:row>
    <x:row r="15" ht="65" customHeight="1">
      <x:c r="A15" s="1"/>
      <x:c r="B15" s="1"/>
      <x:c r="C15" s="7"/>
      <x:c r="D15" s="1"/>
      <x:c r="E15" s="4"/>
      <x:c r="F15" s="4"/>
      <x:c r="G15" s="4"/>
      <x:c r="H15" s="4"/>
    </x:row>
    <x:row r="16" ht="65" customHeight="1">
      <x:c r="A16" s="1"/>
      <x:c r="B16" s="1"/>
      <x:c r="C16" s="7"/>
      <x:c r="D16" s="1"/>
      <x:c r="E16" s="4"/>
      <x:c r="F16" s="4"/>
      <x:c r="G16" s="4"/>
      <x:c r="H16" s="4"/>
    </x:row>
    <x:row r="17" ht="65" customHeight="1">
      <x:c r="A17" s="1"/>
      <x:c r="B17" s="1"/>
      <x:c r="C17" s="7"/>
      <x:c r="D17" s="1"/>
      <x:c r="E17" s="4"/>
      <x:c r="F17" s="4"/>
      <x:c r="G17" s="4"/>
      <x:c r="H17" s="4"/>
    </x:row>
    <x:row r="18" ht="65" customHeight="1">
      <x:c r="A18" s="1"/>
      <x:c r="B18" s="1"/>
      <x:c r="C18" s="7"/>
      <x:c r="D18" s="1"/>
      <x:c r="E18" s="4"/>
      <x:c r="F18" s="4"/>
      <x:c r="G18" s="4"/>
      <x:c r="H18" s="4"/>
    </x:row>
    <x:row r="19" ht="65" customHeight="1">
      <x:c r="A19" s="1"/>
      <x:c r="B19" s="1"/>
      <x:c r="C19" s="7"/>
      <x:c r="D19" s="1"/>
      <x:c r="E19" s="4"/>
      <x:c r="F19" s="4"/>
      <x:c r="G19" s="4"/>
      <x:c r="H19" s="4"/>
    </x:row>
    <x:row r="20" ht="65" customHeight="1">
      <x:c r="A20" s="1"/>
      <x:c r="B20" s="1"/>
      <x:c r="C20" s="7"/>
      <x:c r="D20" s="1"/>
      <x:c r="E20" s="4"/>
      <x:c r="F20" s="4"/>
      <x:c r="G20" s="4"/>
      <x:c r="H20" s="4"/>
    </x:row>
    <x:row r="21" ht="65" customHeight="1">
      <x:c r="A21" s="1"/>
      <x:c r="B21" s="1"/>
      <x:c r="C21" s="7"/>
      <x:c r="D21" s="1"/>
      <x:c r="E21" s="4"/>
      <x:c r="F21" s="4"/>
      <x:c r="G21" s="4"/>
      <x:c r="H21" s="4"/>
    </x:row>
    <x:row r="22" ht="65" customHeight="1">
      <x:c r="A22" s="1"/>
      <x:c r="B22" s="1"/>
      <x:c r="C22" s="7"/>
      <x:c r="D22" s="1"/>
      <x:c r="E22" s="4"/>
      <x:c r="F22" s="4"/>
      <x:c r="G22" s="4"/>
      <x:c r="H22" s="4"/>
    </x:row>
    <x:row r="23" ht="65" customHeight="1">
      <x:c r="A23" s="1"/>
      <x:c r="B23" s="1"/>
      <x:c r="C23" s="7"/>
      <x:c r="D23" s="1"/>
      <x:c r="E23" s="4"/>
      <x:c r="F23" s="4"/>
      <x:c r="G23" s="4"/>
      <x:c r="H23" s="4"/>
    </x:row>
    <x:row r="24" ht="65" customHeight="1">
      <x:c r="A24" s="1"/>
      <x:c r="B24" s="1"/>
      <x:c r="C24" s="7"/>
      <x:c r="D24" s="1"/>
      <x:c r="E24" s="4"/>
      <x:c r="F24" s="4"/>
      <x:c r="G24" s="4"/>
      <x:c r="H24" s="4"/>
    </x:row>
    <x:row r="25" ht="65" customHeight="1">
      <x:c r="A25" s="1"/>
      <x:c r="B25" s="1"/>
      <x:c r="C25" s="7"/>
      <x:c r="D25" s="1"/>
      <x:c r="E25" s="4"/>
      <x:c r="F25" s="4"/>
      <x:c r="G25" s="4"/>
      <x:c r="H25" s="4"/>
    </x:row>
    <x:row r="26" ht="65" customHeight="1">
      <x:c r="A26" s="1"/>
      <x:c r="B26" s="1"/>
      <x:c r="C26" s="7"/>
      <x:c r="D26" s="1"/>
      <x:c r="E26" s="4"/>
      <x:c r="F26" s="4"/>
      <x:c r="G26" s="4"/>
      <x:c r="H26" s="4"/>
    </x:row>
    <x:row r="27" ht="65" customHeight="1">
      <x:c r="A27" s="1"/>
      <x:c r="B27" s="1"/>
      <x:c r="C27" s="7"/>
      <x:c r="D27" s="1"/>
      <x:c r="E27" s="4"/>
      <x:c r="F27" s="4"/>
      <x:c r="G27" s="4"/>
      <x:c r="H27" s="4"/>
    </x:row>
    <x:row r="28" ht="65" customHeight="1">
      <x:c r="A28" s="1"/>
      <x:c r="B28" s="1"/>
      <x:c r="C28" s="7"/>
      <x:c r="D28" s="1"/>
      <x:c r="E28" s="4"/>
      <x:c r="F28" s="4"/>
      <x:c r="G28" s="4"/>
      <x:c r="H28" s="4"/>
    </x:row>
    <x:row r="29" ht="65" customHeight="1">
      <x:c r="A29" s="1"/>
      <x:c r="B29" s="1"/>
      <x:c r="C29" s="7"/>
      <x:c r="D29" s="1"/>
      <x:c r="E29" s="4"/>
      <x:c r="F29" s="4"/>
      <x:c r="G29" s="4"/>
      <x:c r="H29" s="4"/>
    </x:row>
    <x:row r="30" ht="65" customHeight="1">
      <x:c r="A30" s="1"/>
      <x:c r="B30" s="1"/>
      <x:c r="C30" s="7"/>
      <x:c r="D30" s="1"/>
      <x:c r="E30" s="4"/>
      <x:c r="F30" s="4"/>
      <x:c r="G30" s="4"/>
      <x:c r="H30" s="4"/>
    </x:row>
    <x:row r="31" ht="65" customHeight="1">
      <x:c r="A31" s="1"/>
      <x:c r="B31" s="1"/>
      <x:c r="C31" s="7"/>
      <x:c r="D31" s="1"/>
      <x:c r="E31" s="4"/>
      <x:c r="F31" s="4"/>
      <x:c r="G31" s="4"/>
      <x:c r="H31" s="4"/>
    </x:row>
    <x:row r="32" ht="65" customHeight="1">
      <x:c r="A32" s="1"/>
      <x:c r="B32" s="1"/>
      <x:c r="C32" s="7"/>
      <x:c r="D32" s="1"/>
      <x:c r="E32" s="4"/>
      <x:c r="F32" s="4"/>
      <x:c r="G32" s="4"/>
      <x:c r="H32" s="4"/>
    </x:row>
    <x:row r="33" ht="65" customHeight="1">
      <x:c r="A33" s="1"/>
      <x:c r="B33" s="1"/>
      <x:c r="C33" s="7"/>
      <x:c r="D33" s="1"/>
      <x:c r="E33" s="4"/>
      <x:c r="F33" s="4"/>
      <x:c r="G33" s="4"/>
      <x:c r="H33" s="4"/>
    </x:row>
    <x:row r="34" ht="65" customHeight="1">
      <x:c r="A34" s="1"/>
      <x:c r="B34" s="1"/>
      <x:c r="C34" s="7"/>
      <x:c r="D34" s="1"/>
      <x:c r="E34" s="4"/>
      <x:c r="F34" s="4"/>
      <x:c r="G34" s="4"/>
      <x:c r="H34" s="4"/>
    </x:row>
    <x:row r="35" ht="65" customHeight="1">
      <x:c r="A35" s="1"/>
      <x:c r="B35" s="1"/>
      <x:c r="C35" s="7"/>
      <x:c r="D35" s="1"/>
      <x:c r="E35" s="4"/>
      <x:c r="F35" s="4"/>
      <x:c r="G35" s="4"/>
      <x:c r="H35" s="4"/>
    </x:row>
    <x:row r="36" ht="65" customHeight="1">
      <x:c r="A36" s="1"/>
      <x:c r="B36" s="1"/>
      <x:c r="C36" s="7"/>
      <x:c r="D36" s="1"/>
      <x:c r="E36" s="4"/>
      <x:c r="F36" s="4"/>
      <x:c r="G36" s="4"/>
      <x:c r="H36" s="4"/>
    </x:row>
    <x:row r="37" ht="65" customHeight="1">
      <x:c r="A37" s="1"/>
      <x:c r="B37" s="1"/>
      <x:c r="C37" s="7"/>
      <x:c r="D37" s="1"/>
      <x:c r="E37" s="4"/>
      <x:c r="F37" s="4"/>
      <x:c r="G37" s="4"/>
      <x:c r="H37" s="4"/>
    </x:row>
    <x:row r="38" ht="65" customHeight="1">
      <x:c r="A38" s="1"/>
      <x:c r="B38" s="1"/>
      <x:c r="C38" s="7"/>
      <x:c r="D38" s="1"/>
      <x:c r="E38" s="4"/>
      <x:c r="F38" s="4"/>
      <x:c r="G38" s="4"/>
      <x:c r="H38" s="4"/>
    </x:row>
    <x:row r="39" ht="65" customHeight="1">
      <x:c r="A39" s="1"/>
      <x:c r="B39" s="1"/>
      <x:c r="C39" s="7"/>
      <x:c r="D39" s="1"/>
      <x:c r="E39" s="4"/>
      <x:c r="F39" s="4"/>
      <x:c r="G39" s="4"/>
      <x:c r="H39" s="4"/>
    </x:row>
    <x:row r="40" ht="65" customHeight="1">
      <x:c r="A40" s="1"/>
      <x:c r="B40" s="1"/>
      <x:c r="C40" s="7"/>
      <x:c r="D40" s="1"/>
      <x:c r="E40" s="4"/>
      <x:c r="F40" s="4"/>
      <x:c r="G40" s="4"/>
      <x:c r="H40" s="4"/>
    </x:row>
    <x:row r="41" ht="65" customHeight="1">
      <x:c r="A41" s="1"/>
      <x:c r="B41" s="1"/>
      <x:c r="C41" s="7"/>
      <x:c r="D41" s="1"/>
      <x:c r="E41" s="4"/>
      <x:c r="F41" s="4"/>
      <x:c r="G41" s="4"/>
      <x:c r="H41" s="4"/>
    </x:row>
    <x:row r="42" ht="65" customHeight="1">
      <x:c r="A42" s="1"/>
      <x:c r="B42" s="1"/>
      <x:c r="C42" s="7"/>
      <x:c r="D42" s="1"/>
      <x:c r="E42" s="4"/>
      <x:c r="F42" s="4"/>
      <x:c r="G42" s="4"/>
      <x:c r="H42" s="4"/>
    </x:row>
    <x:row r="43" ht="65" customHeight="1">
      <x:c r="A43" s="1"/>
      <x:c r="B43" s="1"/>
      <x:c r="C43" s="7"/>
      <x:c r="D43" s="1"/>
      <x:c r="E43" s="4"/>
      <x:c r="F43" s="4"/>
      <x:c r="G43" s="4"/>
      <x:c r="H43" s="4"/>
    </x:row>
    <x:row r="44" ht="65" customHeight="1">
      <x:c r="A44" s="1"/>
      <x:c r="B44" s="1"/>
      <x:c r="C44" s="7"/>
      <x:c r="D44" s="1"/>
      <x:c r="E44" s="4"/>
      <x:c r="F44" s="4"/>
      <x:c r="G44" s="4"/>
      <x:c r="H44" s="4"/>
    </x:row>
    <x:row r="45" ht="65" customHeight="1">
      <x:c r="A45" s="1"/>
      <x:c r="B45" s="1"/>
      <x:c r="C45" s="7"/>
      <x:c r="D45" s="1"/>
      <x:c r="E45" s="4"/>
      <x:c r="F45" s="4"/>
      <x:c r="G45" s="4"/>
      <x:c r="H45" s="4"/>
    </x:row>
    <x:row r="46" ht="65" customHeight="1">
      <x:c r="A46" s="1"/>
      <x:c r="B46" s="1"/>
      <x:c r="C46" s="7"/>
      <x:c r="D46" s="1"/>
      <x:c r="E46" s="4"/>
      <x:c r="F46" s="4"/>
      <x:c r="G46" s="4"/>
      <x:c r="H46" s="4"/>
    </x:row>
    <x:row r="47" ht="65" customHeight="1">
      <x:c r="A47" s="1"/>
      <x:c r="B47" s="1"/>
      <x:c r="C47" s="7"/>
      <x:c r="D47" s="1"/>
      <x:c r="E47" s="4"/>
      <x:c r="F47" s="4"/>
      <x:c r="G47" s="4"/>
      <x:c r="H47" s="4"/>
    </x:row>
    <x:row r="48" ht="65" customHeight="1">
      <x:c r="A48" s="1"/>
      <x:c r="B48" s="1"/>
      <x:c r="C48" s="7"/>
      <x:c r="D48" s="1"/>
      <x:c r="E48" s="4"/>
      <x:c r="F48" s="4"/>
      <x:c r="G48" s="4"/>
      <x:c r="H48" s="4"/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Tangible equity / excess return substitution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Active case 1-4</x:v>
      </x:c>
      <x:c r="B4" s="9" t="n">
        <x:v>4</x:v>
      </x:c>
      <x:c r="C4" s="1"/>
      <x:c r="D4" s="1"/>
      <x:c r="E4" s="1"/>
      <x:c r="F4" s="1"/>
      <x:c r="G4" s="1"/>
      <x:c r="H4" s="1"/>
    </x:row>
    <x:row r="5" ht="22" customHeight="1">
      <x:c r="A5" s="1" t="str">
        <x:v>Tangible book / share</x:v>
      </x:c>
      <x:c r="B5" s="1" t="n">
        <x:f>'Actuals'!C4</x:f>
        <x:v>113.35</x:v>
      </x:c>
      <x:c r="C5" s="1"/>
      <x:c r="D5" s="1"/>
      <x:c r="E5" s="1"/>
      <x:c r="F5" s="1"/>
      <x:c r="G5" s="1"/>
      <x:c r="H5" s="1"/>
    </x:row>
    <x:row r="6" ht="22" customHeight="1">
      <x:c r="A6" s="1" t="str">
        <x:v>Long-run ROTCE</x:v>
      </x:c>
      <x:c r="B6" s="10" t="n">
        <x:f>IF(ISNUMBER(B4),IF(AND(B4=INT(B4),B4&gt;=1,B4&lt;=4),IF(CHOOSE(B4,COUNT(B13),COUNT(C13),COUNT(D13),COUNT(E13))=1,CHOOSE(B4,B13,C13,D13,E13),"WITHHELD"),"WITHHELD"),"WITHHELD")</x:f>
        <x:v>0.18</x:v>
      </x:c>
      <x:c r="C6" s="1"/>
      <x:c r="D6" s="1"/>
      <x:c r="E6" s="1"/>
      <x:c r="F6" s="1"/>
      <x:c r="G6" s="1"/>
      <x:c r="H6" s="1"/>
    </x:row>
    <x:row r="7" ht="22" customHeight="1">
      <x:c r="A7" s="1" t="str">
        <x:v>Equity cost</x:v>
      </x:c>
      <x:c r="B7" s="10" t="n">
        <x:f>IF(ISNUMBER(B4),IF(AND(B4=INT(B4),B4&gt;=1,B4&lt;=4),IF(CHOOSE(B4,COUNT(B14),COUNT(C14),COUNT(D14),COUNT(E14))=1,CHOOSE(B4,B14,C14,D14,E14),"WITHHELD"),"WITHHELD"),"WITHHELD")</x:f>
        <x:v>0.1</x:v>
      </x:c>
      <x:c r="C7" s="1"/>
      <x:c r="D7" s="1"/>
      <x:c r="E7" s="1"/>
      <x:c r="F7" s="1"/>
      <x:c r="G7" s="1"/>
      <x:c r="H7" s="1"/>
    </x:row>
    <x:row r="8" ht="22" customHeight="1">
      <x:c r="A8" s="1" t="str">
        <x:v>Sustainable book growth</x:v>
      </x:c>
      <x:c r="B8" s="10" t="n">
        <x:f>IF(ISNUMBER(B4),IF(AND(B4=INT(B4),B4&gt;=1,B4&lt;=4),IF(CHOOSE(B4,COUNT(B15),COUNT(C15),COUNT(D15),COUNT(E15))=1,CHOOSE(B4,B15,C15,D15,E15),"WITHHELD"),"WITHHELD"),"WITHHELD")</x:f>
        <x:v>0.04</x:v>
      </x:c>
      <x:c r="C8" s="1"/>
      <x:c r="D8" s="1"/>
      <x:c r="E8" s="1"/>
      <x:c r="F8" s="1"/>
      <x:c r="G8" s="1"/>
      <x:c r="H8" s="1"/>
    </x:row>
    <x:row r="9" ht="22" customHeight="1">
      <x:c r="A9" s="1" t="str">
        <x:v>Optional verified market price</x:v>
      </x:c>
      <x:c r="B9" s="9"/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6" t="str">
        <x:v>Driver</x:v>
      </x:c>
      <x:c r="B12" s="6" t="str">
        <x:v>Bear</x:v>
      </x:c>
      <x:c r="C12" s="6" t="str">
        <x:v>Base</x:v>
      </x:c>
      <x:c r="D12" s="6" t="str">
        <x:v>Bull</x:v>
      </x:c>
      <x:c r="E12" s="6" t="str">
        <x:v>What-if</x:v>
      </x:c>
      <x:c r="F12" s="1"/>
      <x:c r="G12" s="1"/>
      <x:c r="H12" s="1"/>
    </x:row>
    <x:row r="13" ht="22" customHeight="1">
      <x:c r="A13" s="1" t="str">
        <x:v>roe</x:v>
      </x:c>
      <x:c r="B13" s="10" t="n">
        <x:v>0.14</x:v>
      </x:c>
      <x:c r="C13" s="10" t="n">
        <x:v>0.18</x:v>
      </x:c>
      <x:c r="D13" s="10" t="n">
        <x:v>0.22</x:v>
      </x:c>
      <x:c r="E13" s="11" t="n">
        <x:v>0.18</x:v>
      </x:c>
      <x:c r="F13" s="1"/>
      <x:c r="G13" s="1"/>
      <x:c r="H13" s="1"/>
    </x:row>
    <x:row r="14" ht="22" customHeight="1">
      <x:c r="A14" s="1" t="str">
        <x:v>k</x:v>
      </x:c>
      <x:c r="B14" s="10" t="n">
        <x:v>0.11</x:v>
      </x:c>
      <x:c r="C14" s="10" t="n">
        <x:v>0.1</x:v>
      </x:c>
      <x:c r="D14" s="10" t="n">
        <x:v>0.09</x:v>
      </x:c>
      <x:c r="E14" s="11" t="n">
        <x:v>0.1</x:v>
      </x:c>
      <x:c r="F14" s="1"/>
      <x:c r="G14" s="1"/>
      <x:c r="H14" s="1"/>
    </x:row>
    <x:row r="15" ht="22" customHeight="1">
      <x:c r="A15" s="1" t="str">
        <x:v>g</x:v>
      </x:c>
      <x:c r="B15" s="10" t="n">
        <x:v>0.03</x:v>
      </x:c>
      <x:c r="C15" s="10" t="n">
        <x:v>0.04</x:v>
      </x:c>
      <x:c r="D15" s="10" t="n">
        <x:v>0.04</x:v>
      </x:c>
      <x:c r="E15" s="11" t="n">
        <x:v>0.04</x:v>
      </x:c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Steady-state value illustration</x:v>
      </x:c>
      <x:c r="B18" s="12" t="n">
        <x:f>IF(COUNT(B6:B8)=3,IF(AND(B5&gt;0,B8&gt;=0,B6&gt;B8,B7&gt;B8),B5*(B6-B8)/(B7-B8),"WITHHELD"),"WITHHELD")</x:f>
        <x:v>264.4833333333333</x:v>
      </x:c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 t="str">
        <x:v>Price-dependent returns / entry</x:v>
      </x:c>
      <x:c r="B20" s="1" t="str">
        <x:v>WITHHELD</x:v>
      </x:c>
      <x:c r="C20" s="1"/>
      <x:c r="D20" s="1"/>
      <x:c r="E20" s="1"/>
      <x:c r="F20" s="1"/>
      <x:c r="G20" s="1"/>
      <x:c r="H20" s="1"/>
    </x:row>
    <x:row r="21" ht="22" customHeight="1">
      <x:c r="A21" s="1" t="str">
        <x:v>No capital-constrained distribution path verified.</x:v>
      </x:c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 t="str">
        <x:v>Required reinvestment fraction</x:v>
      </x:c>
      <x:c r="B24" s="10" t="n">
        <x:f>IF(ISNUMBER(B18),B8/B6,"WITHHELD")</x:f>
        <x:v>0.22222222222222224</x:v>
      </x:c>
      <x:c r="C24" s="1"/>
      <x:c r="D24" s="1"/>
      <x:c r="E24" s="1"/>
      <x:c r="F24" s="1"/>
      <x:c r="G24" s="1"/>
      <x:c r="H24" s="1"/>
    </x:row>
    <x:row r="25" ht="22" customHeight="1">
      <x:c r="A25" s="1" t="str">
        <x:v>Illustrative distributable earnings</x:v>
      </x:c>
      <x:c r="B25" s="1" t="n">
        <x:f>IF(ISNUMBER(B18),B5*(B6-B8),"WITHHELD")</x:f>
        <x:v>15.868999999999998</x:v>
      </x:c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 t="str">
        <x:v>Do not add deposits or deduct bank debt again.</x:v>
      </x:c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  <x:mergeCell ref="A21:F21"/>
    <x:mergeCell ref="A27:F27"/>
  </x:mergeCells>
  <x:dataValidations count="1">
    <x:dataValidation type="whole" operator="between" sqref="B4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j1 | Q2 2026 earnings release</x:v>
      </x:c>
      <x:c r="B4" s="4" t="str">
        <x:v>2026-07-14</x:v>
      </x:c>
      <x:c r="C4" s="4" t="str">
        <x:v>filing</x:v>
      </x:c>
      <x:c r="D4" s="4" t="str">
        <x:v>https://www.sec.gov/Archives/edgar/data/19617/000162828026048078/a2q26erfexhibit991narrative.htm</x:v>
      </x:c>
      <x:c r="E4" s="4" t="str">
        <x:v>sources/2026-q2-release.htm</x:v>
      </x:c>
      <x:c r="F4" s="4" t="str">
        <x:v>headline / significant items note2d</x:v>
      </x:c>
      <x:c r="G4" s="1"/>
      <x:c r="H4" s="1"/>
    </x:row>
    <x:row r="5" ht="75" customHeight="1">
      <x:c r="A5" s="4" t="str">
        <x:v>j2 | Q2 2026 financial supplement</x:v>
      </x:c>
      <x:c r="B5" s="4" t="str">
        <x:v>2026-07-14</x:v>
      </x:c>
      <x:c r="C5" s="4" t="str">
        <x:v>filing</x:v>
      </x:c>
      <x:c r="D5" s="4" t="str">
        <x:v>https://www.sec.gov/Archives/edgar/data/19617/000162828026048078/a2q26erfex992supplement.htm</x:v>
      </x:c>
      <x:c r="E5" s="4" t="str">
        <x:v>sources/2026-q2-supplement.htm</x:v>
      </x:c>
      <x:c r="F5" s="4" t="str">
        <x:v>capital p9; financial highlights p2; financial highlights p2; reconciliation p10</x:v>
      </x:c>
      <x:c r="G5" s="1"/>
      <x:c r="H5" s="1"/>
    </x:row>
    <x:row r="6" ht="75" customHeight="1">
      <x:c r="A6" s="4" t="str">
        <x:v>j3 | Finalized Q2 2026 Form 10-Q</x:v>
      </x:c>
      <x:c r="B6" s="4" t="str">
        <x:v>2026-08-06</x:v>
      </x:c>
      <x:c r="C6" s="4" t="str">
        <x:v>issuer-primary</x:v>
      </x:c>
      <x:c r="D6" s="4" t="str">
        <x:v>https://www.sec.gov/Archives/edgar/data/19617/000162828026054343/jpm-20260630.htm</x:v>
      </x:c>
      <x:c r="E6" s="4" t="str">
        <x:v>sources\jpm-q2-10q.htm</x:v>
      </x:c>
      <x:c r="F6" s="4" t="str">
        <x:v>Capital Risk Management pp44,46-47,49; Note21 pp177-178</x:v>
      </x:c>
      <x:c r="G6" s="1"/>
      <x:c r="H6" s="1"/>
    </x:row>
    <x:row r="7" ht="75" customHeight="1">
      <x:c r="A7" s="4" t="str">
        <x:v>j4 | Form 10-Q Note21 regulatory capital</x:v>
      </x:c>
      <x:c r="B7" s="4" t="str">
        <x:v>2026-08-06</x:v>
      </x:c>
      <x:c r="C7" s="4" t="str">
        <x:v>issuer-primary</x:v>
      </x:c>
      <x:c r="D7" s="4" t="str">
        <x:v>https://www.sec.gov/Archives/edgar/data/19617/000162828026054343/R29.htm</x:v>
      </x:c>
      <x:c r="E7" s="4" t="str">
        <x:v>sources\jpm-q2-regulatory-capital.htm</x:v>
      </x:c>
      <x:c r="F7" s="4" t="str">
        <x:v>Note21 regulatory capital extract</x:v>
      </x:c>
      <x:c r="G7" s="1"/>
      <x:c r="H7" s="1"/>
    </x:row>
    <x:row r="8" ht="75" customHeight="1">
      <x:c r="A8" s="4" t="str">
        <x:v>j5 | September common dividend declaration</x:v>
      </x:c>
      <x:c r="B8" s="4" t="str">
        <x:v>2026-09-15</x:v>
      </x:c>
      <x:c r="C8" s="4" t="str">
        <x:v>issuer-primary</x:v>
      </x:c>
      <x:c r="D8" s="4" t="str">
        <x:v>https://www.jpmorganchase.com/ir/news/2026/jpmc-declares-increased-common-stock-dividend-9-15</x:v>
      </x:c>
      <x:c r="E8" s="4" t="str">
        <x:v>sources\jpm-september-dividend.htm</x:v>
      </x:c>
      <x:c r="F8" s="4" t="str">
        <x:v>Issuer declaration</x:v>
      </x:c>
      <x:c r="G8" s="1"/>
      <x:c r="H8" s="1"/>
    </x:row>
    <x:row r="9" ht="75" customHeight="1">
      <x:c r="A9" s="4" t="str">
        <x:v>j6 | June dividend intention and buyback authorization</x:v>
      </x:c>
      <x:c r="B9" s="4" t="str">
        <x:v>2026-06-24</x:v>
      </x:c>
      <x:c r="C9" s="4" t="str">
        <x:v>issuer-primary</x:v>
      </x:c>
      <x:c r="D9" s="4" t="str">
        <x:v>https://www.jpmorganchase.com/ir/news/2026/jpmc-dividend-increase-common-share-repurchase</x:v>
      </x:c>
      <x:c r="E9" s="4" t="str">
        <x:v>sources\jpm-june-capital-authorization.htm</x:v>
      </x:c>
      <x:c r="F9" s="4" t="str">
        <x:v>Issuer dividend intention and repurchase authorization</x:v>
      </x:c>
      <x:c r="G9" s="1"/>
      <x:c r="H9" s="1"/>
    </x:row>
    <x:row r="10" ht="75" customHeight="1">
      <x:c r="A10" s="4"/>
      <x:c r="B10" s="4"/>
      <x:c r="C10" s="4"/>
      <x:c r="D10" s="4"/>
      <x:c r="E10" s="4"/>
      <x:c r="F10" s="4"/>
      <x:c r="G10" s="1"/>
      <x:c r="H10" s="1"/>
    </x:row>
    <x:row r="11" ht="75" customHeight="1">
      <x:c r="A11" s="4"/>
      <x:c r="B11" s="4"/>
      <x:c r="C11" s="4"/>
      <x:c r="D11" s="4"/>
      <x:c r="E11" s="4"/>
      <x:c r="F11" s="4"/>
      <x:c r="G11" s="1"/>
      <x:c r="H11" s="1"/>
    </x:row>
    <x:row r="12" ht="75" customHeight="1">
      <x:c r="A12" s="4"/>
      <x:c r="B12" s="4"/>
      <x:c r="C12" s="4"/>
      <x:c r="D12" s="4"/>
      <x:c r="E12" s="4"/>
      <x:c r="F12" s="4"/>
      <x:c r="G12" s="1"/>
      <x:c r="H12" s="1"/>
    </x:row>
    <x:row r="13" ht="75" customHeight="1">
      <x:c r="A13" s="4"/>
      <x:c r="B13" s="4"/>
      <x:c r="C13" s="4"/>
      <x:c r="D13" s="4"/>
      <x:c r="E13" s="4"/>
      <x:c r="F13" s="4"/>
      <x:c r="G13" s="1"/>
      <x:c r="H13" s="1"/>
    </x:row>
    <x:row r="14" ht="75" customHeight="1">
      <x:c r="A14" s="4"/>
      <x:c r="B14" s="4"/>
      <x:c r="C14" s="4"/>
      <x:c r="D14" s="4"/>
      <x:c r="E14" s="4"/>
      <x:c r="F14" s="4"/>
      <x:c r="G14" s="1"/>
      <x:c r="H14" s="1"/>
    </x:row>
    <x:row r="15" ht="75" customHeight="1">
      <x:c r="A15" s="4"/>
      <x:c r="B15" s="4"/>
      <x:c r="C15" s="4"/>
      <x:c r="D15" s="4"/>
      <x:c r="E15" s="4"/>
      <x:c r="F15" s="4"/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